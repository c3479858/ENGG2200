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theodevos-vernes/Documents/GitHub/ENGG2200/DRS Project/Design Files/Electrical System/"/>
    </mc:Choice>
  </mc:AlternateContent>
  <xr:revisionPtr revIDLastSave="0" documentId="13_ncr:1_{31F80D2A-F072-E449-B61B-5D2DD2D4F0E3}" xr6:coauthVersionLast="47" xr6:coauthVersionMax="47" xr10:uidLastSave="{00000000-0000-0000-0000-000000000000}"/>
  <bookViews>
    <workbookView xWindow="0" yWindow="600" windowWidth="28800" windowHeight="17400" tabRatio="500" activeTab="4" xr2:uid="{00000000-000D-0000-FFFF-FFFF00000000}"/>
  </bookViews>
  <sheets>
    <sheet name="DETAILED DESIGN REVIEW" sheetId="1" r:id="rId1"/>
    <sheet name="PCB Design Intent" sheetId="2" r:id="rId2"/>
    <sheet name="Schematic Review" sheetId="3" r:id="rId3"/>
    <sheet name="Layout Review" sheetId="4" r:id="rId4"/>
    <sheet name="CAD &amp; Physical Design Review" sheetId="5" r:id="rId5"/>
    <sheet name="Unit Test Checklist" sheetId="6" r:id="rId6"/>
    <sheet name="Comissioning Notes" sheetId="7" r:id="rId7"/>
    <sheet name="DATA VALIDATION"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2" i="1" l="1"/>
  <c r="B31" i="1"/>
  <c r="B28" i="1"/>
  <c r="B27" i="1"/>
  <c r="B24" i="1"/>
  <c r="B23" i="1"/>
  <c r="B20" i="1"/>
  <c r="B19" i="1"/>
  <c r="B16" i="1"/>
  <c r="B15" i="1"/>
  <c r="A34" i="1" l="1"/>
</calcChain>
</file>

<file path=xl/sharedStrings.xml><?xml version="1.0" encoding="utf-8"?>
<sst xmlns="http://schemas.openxmlformats.org/spreadsheetml/2006/main" count="395" uniqueCount="241">
  <si>
    <t>PCB DDR</t>
  </si>
  <si>
    <r>
      <rPr>
        <i/>
        <sz val="12"/>
        <color theme="4" tint="-0.249977111117893"/>
        <rFont val="Calibri"/>
        <family val="2"/>
        <charset val="1"/>
      </rPr>
      <t xml:space="preserve">The DDR Process is aimed towards reducing errors in PCB design and manufacture, and ensuring that the design intent of the PCB is in line with the requirements of the car and is compatable with existing systems. 
</t>
    </r>
    <r>
      <rPr>
        <b/>
        <i/>
        <u/>
        <sz val="12"/>
        <color theme="4" tint="-0.249977111117893"/>
        <rFont val="Calibri"/>
        <family val="2"/>
        <charset val="1"/>
      </rPr>
      <t>This should be completed before any PCB is approved for manufacture.</t>
    </r>
  </si>
  <si>
    <t>DDR FAQ's</t>
  </si>
  <si>
    <t>Your Name:</t>
  </si>
  <si>
    <t>Theo Devos-Vernes</t>
  </si>
  <si>
    <t>PCB Name:</t>
  </si>
  <si>
    <t>DRS Control Unit</t>
  </si>
  <si>
    <t>Please reference this doc before asking for help. It will update as more questions are asked.</t>
  </si>
  <si>
    <t>Version:</t>
  </si>
  <si>
    <t>Date Of  Review</t>
  </si>
  <si>
    <t>Reviewer 1</t>
  </si>
  <si>
    <t>Complete everything above the black line before starting DDR</t>
  </si>
  <si>
    <t>Reviewer 2</t>
  </si>
  <si>
    <t>Reviewer 3</t>
  </si>
  <si>
    <t>*A Minimum of 2 people external from the designer should be involved in a Pre Production DDR, One of which should be of sufficient electrical experience (Multiple successful PCBs, over 1 years experience etc) such as Malcolm, Mechatronic Lead Engineer, LV System Engineer, etc.</t>
  </si>
  <si>
    <t>PCB Design Intent</t>
  </si>
  <si>
    <t>Completed?</t>
  </si>
  <si>
    <t>Reviewed?</t>
  </si>
  <si>
    <t>Schematic Review</t>
  </si>
  <si>
    <t>Only change the NO's to YES's once each section has been completed and reviewed</t>
  </si>
  <si>
    <t>Layout Review</t>
  </si>
  <si>
    <t>Unit Test Checklist</t>
  </si>
  <si>
    <t>CAD and Physical Design Review</t>
  </si>
  <si>
    <t>PCB File Structure</t>
  </si>
  <si>
    <t>After being sent off for manufacture, please ensure the PCB follows the following File Structure. Consider copying 'aa_TEMPLATE_FILESTRUCTURE" from the Racing-PCB's folder and repurpousing it for your use.</t>
  </si>
  <si>
    <t>\Github</t>
  </si>
  <si>
    <t xml:space="preserve">         \Racing-NUxx</t>
  </si>
  <si>
    <r>
      <rPr>
        <sz val="11"/>
        <color theme="1"/>
        <rFont val="Calibri"/>
        <family val="2"/>
        <charset val="1"/>
      </rPr>
      <t xml:space="preserve">                  \</t>
    </r>
    <r>
      <rPr>
        <b/>
        <sz val="11"/>
        <color rgb="FFFF0000"/>
        <rFont val="Calibri"/>
        <family val="2"/>
        <charset val="1"/>
      </rPr>
      <t>PCB_NAME</t>
    </r>
    <r>
      <rPr>
        <sz val="11"/>
        <color theme="1"/>
        <rFont val="Calibri"/>
        <family val="2"/>
        <charset val="1"/>
      </rPr>
      <t xml:space="preserve">      (e.g DEN)</t>
    </r>
  </si>
  <si>
    <r>
      <rPr>
        <sz val="11"/>
        <color theme="1"/>
        <rFont val="Calibri"/>
        <family val="2"/>
        <charset val="1"/>
      </rPr>
      <t xml:space="preserve">                           \</t>
    </r>
    <r>
      <rPr>
        <b/>
        <sz val="11"/>
        <color rgb="FFFF0000"/>
        <rFont val="Calibri"/>
        <family val="2"/>
        <charset val="1"/>
      </rPr>
      <t>PCB</t>
    </r>
    <r>
      <rPr>
        <sz val="11"/>
        <color theme="1"/>
        <rFont val="Calibri"/>
        <family val="2"/>
        <charset val="1"/>
      </rPr>
      <t xml:space="preserve">                (Folder)</t>
    </r>
  </si>
  <si>
    <r>
      <rPr>
        <sz val="11"/>
        <color theme="1"/>
        <rFont val="Calibri"/>
        <family val="2"/>
        <charset val="1"/>
      </rPr>
      <t xml:space="preserve">                                  \</t>
    </r>
    <r>
      <rPr>
        <b/>
        <sz val="11"/>
        <color rgb="FFFF0000"/>
        <rFont val="Calibri"/>
        <family val="2"/>
        <charset val="1"/>
      </rPr>
      <t>Archive</t>
    </r>
    <r>
      <rPr>
        <sz val="11"/>
        <color theme="1"/>
        <rFont val="Calibri"/>
        <family val="2"/>
        <charset val="1"/>
      </rPr>
      <t xml:space="preserve">                (Folder)</t>
    </r>
  </si>
  <si>
    <r>
      <rPr>
        <sz val="11"/>
        <color theme="1"/>
        <rFont val="Calibri"/>
        <family val="2"/>
        <charset val="1"/>
      </rPr>
      <t xml:space="preserve">                                         \</t>
    </r>
    <r>
      <rPr>
        <b/>
        <sz val="11"/>
        <color rgb="FFFF0000"/>
        <rFont val="Calibri"/>
        <family val="2"/>
        <charset val="1"/>
      </rPr>
      <t>older versions of PCB in here</t>
    </r>
  </si>
  <si>
    <r>
      <rPr>
        <sz val="11"/>
        <color theme="1"/>
        <rFont val="Calibri"/>
        <family val="2"/>
        <charset val="1"/>
      </rPr>
      <t xml:space="preserve">                                  \</t>
    </r>
    <r>
      <rPr>
        <b/>
        <sz val="11"/>
        <color rgb="FFFF0000"/>
        <rFont val="Calibri"/>
        <family val="2"/>
        <charset val="1"/>
      </rPr>
      <t>PCB_NAME_VERSION</t>
    </r>
    <r>
      <rPr>
        <sz val="11"/>
        <color theme="1"/>
        <rFont val="Calibri"/>
        <family val="2"/>
        <charset val="1"/>
      </rPr>
      <t xml:space="preserve">            (e.g DEN_V3.1)</t>
    </r>
  </si>
  <si>
    <r>
      <rPr>
        <sz val="11"/>
        <color theme="1"/>
        <rFont val="Calibri"/>
        <family val="2"/>
        <charset val="1"/>
      </rPr>
      <t xml:space="preserve">                                         \</t>
    </r>
    <r>
      <rPr>
        <b/>
        <sz val="11"/>
        <color rgb="FFFF0000"/>
        <rFont val="Calibri"/>
        <family val="2"/>
        <charset val="1"/>
      </rPr>
      <t>Kicad_Project_Folder</t>
    </r>
    <r>
      <rPr>
        <sz val="11"/>
        <color theme="1"/>
        <rFont val="Calibri"/>
        <family val="2"/>
        <charset val="1"/>
      </rPr>
      <t xml:space="preserve">      (e.g DEN_V2.1)</t>
    </r>
  </si>
  <si>
    <r>
      <rPr>
        <sz val="11"/>
        <color theme="1"/>
        <rFont val="Calibri"/>
        <family val="2"/>
        <charset val="1"/>
      </rPr>
      <t xml:space="preserve">                                         \</t>
    </r>
    <r>
      <rPr>
        <b/>
        <sz val="11"/>
        <color rgb="FFFF0000"/>
        <rFont val="Calibri"/>
        <family val="2"/>
        <charset val="1"/>
      </rPr>
      <t>DDR_EXCEL FILE</t>
    </r>
    <r>
      <rPr>
        <sz val="11"/>
        <color theme="1"/>
        <rFont val="Calibri"/>
        <family val="2"/>
        <charset val="1"/>
      </rPr>
      <t xml:space="preserve">               (e.g DEN_V2.1_DDR.xlsx)</t>
    </r>
  </si>
  <si>
    <r>
      <rPr>
        <sz val="11"/>
        <color theme="1"/>
        <rFont val="Calibri"/>
        <family val="2"/>
        <charset val="1"/>
      </rPr>
      <t xml:space="preserve">                                         \</t>
    </r>
    <r>
      <rPr>
        <b/>
        <sz val="11"/>
        <color rgb="FFFF0000"/>
        <rFont val="Calibri"/>
        <family val="2"/>
        <charset val="1"/>
      </rPr>
      <t>Schematic PDF</t>
    </r>
    <r>
      <rPr>
        <sz val="11"/>
        <color theme="1"/>
        <rFont val="Calibri"/>
        <family val="2"/>
        <charset val="1"/>
      </rPr>
      <t xml:space="preserve">                 (e.g DEN_V2.1_Schematic.PDF)</t>
    </r>
  </si>
  <si>
    <r>
      <rPr>
        <sz val="11"/>
        <color theme="1"/>
        <rFont val="Calibri"/>
        <family val="2"/>
        <charset val="1"/>
      </rPr>
      <t xml:space="preserve">                           \</t>
    </r>
    <r>
      <rPr>
        <b/>
        <sz val="11"/>
        <color rgb="FFFF0000"/>
        <rFont val="Calibri"/>
        <family val="2"/>
        <charset val="1"/>
      </rPr>
      <t>Datasheets</t>
    </r>
    <r>
      <rPr>
        <sz val="11"/>
        <color theme="1"/>
        <rFont val="Calibri"/>
        <family val="2"/>
        <charset val="1"/>
      </rPr>
      <t xml:space="preserve">                (Folder)</t>
    </r>
  </si>
  <si>
    <r>
      <rPr>
        <sz val="11"/>
        <color theme="1"/>
        <rFont val="Calibri"/>
        <family val="2"/>
        <charset val="1"/>
      </rPr>
      <t xml:space="preserve">                                  \</t>
    </r>
    <r>
      <rPr>
        <b/>
        <sz val="11"/>
        <color rgb="FFFF0000"/>
        <rFont val="Calibri"/>
        <family val="2"/>
        <charset val="1"/>
      </rPr>
      <t>Datasheet_1</t>
    </r>
    <r>
      <rPr>
        <sz val="11"/>
        <color theme="1"/>
        <rFont val="Calibri"/>
        <family val="2"/>
        <charset val="1"/>
      </rPr>
      <t xml:space="preserve">                   (e.g Component_1.PDF)</t>
    </r>
  </si>
  <si>
    <r>
      <rPr>
        <sz val="11"/>
        <color theme="1"/>
        <rFont val="Calibri"/>
        <family val="2"/>
        <charset val="1"/>
      </rPr>
      <t xml:space="preserve">                                  \</t>
    </r>
    <r>
      <rPr>
        <b/>
        <sz val="11"/>
        <color rgb="FFFF0000"/>
        <rFont val="Calibri"/>
        <family val="2"/>
        <charset val="1"/>
      </rPr>
      <t>Datasheet_2</t>
    </r>
    <r>
      <rPr>
        <sz val="11"/>
        <color theme="1"/>
        <rFont val="Calibri"/>
        <family val="2"/>
        <charset val="1"/>
      </rPr>
      <t xml:space="preserve">                   (e.g Component_2.PDF)</t>
    </r>
  </si>
  <si>
    <r>
      <rPr>
        <sz val="11"/>
        <color theme="1"/>
        <rFont val="Calibri"/>
        <family val="2"/>
        <charset val="1"/>
      </rPr>
      <t xml:space="preserve">                           \</t>
    </r>
    <r>
      <rPr>
        <b/>
        <sz val="11"/>
        <color rgb="FFFF0000"/>
        <rFont val="Calibri"/>
        <family val="2"/>
        <charset val="1"/>
      </rPr>
      <t>Code</t>
    </r>
    <r>
      <rPr>
        <sz val="11"/>
        <color theme="1"/>
        <rFont val="Calibri"/>
        <family val="2"/>
        <charset val="1"/>
      </rPr>
      <t xml:space="preserve">                (Folder)</t>
    </r>
  </si>
  <si>
    <r>
      <rPr>
        <sz val="11"/>
        <color theme="1"/>
        <rFont val="Calibri"/>
        <family val="2"/>
        <charset val="1"/>
      </rPr>
      <t xml:space="preserve">                                  \</t>
    </r>
    <r>
      <rPr>
        <b/>
        <sz val="11"/>
        <color rgb="FFFF0000"/>
        <rFont val="Calibri"/>
        <family val="2"/>
        <charset val="1"/>
      </rPr>
      <t>PCB_NAME_CODE_VERSION</t>
    </r>
  </si>
  <si>
    <r>
      <rPr>
        <sz val="11"/>
        <color theme="1"/>
        <rFont val="Calibri"/>
        <family val="2"/>
        <charset val="1"/>
      </rPr>
      <t xml:space="preserve">                                  \</t>
    </r>
    <r>
      <rPr>
        <b/>
        <sz val="11"/>
        <color rgb="FFFF0000"/>
        <rFont val="Calibri"/>
        <family val="2"/>
        <charset val="1"/>
      </rPr>
      <t>PCB_NAME_CODE_VERSION_Nuxx_Integration_Test</t>
    </r>
  </si>
  <si>
    <r>
      <rPr>
        <sz val="11"/>
        <color theme="1"/>
        <rFont val="Calibri"/>
        <family val="2"/>
        <charset val="1"/>
      </rPr>
      <t xml:space="preserve">                                  \</t>
    </r>
    <r>
      <rPr>
        <b/>
        <sz val="11"/>
        <color rgb="FFFF0000"/>
        <rFont val="Calibri"/>
        <family val="2"/>
        <charset val="1"/>
      </rPr>
      <t>Unit_Testing</t>
    </r>
  </si>
  <si>
    <t>PCB OVERVIEW</t>
  </si>
  <si>
    <t>This is a top level overview of your PCB design. 
Treat this like a blurb about your PCB aimed towards someone who has no knowledge of your PCB and a rudimentary understanding of the cars electrical systems. 
For example a new mechatronics team member who is continuing your work after you graduate.</t>
  </si>
  <si>
    <t>Completed:</t>
  </si>
  <si>
    <t>YES</t>
  </si>
  <si>
    <t>Reviewed:</t>
  </si>
  <si>
    <t>NO</t>
  </si>
  <si>
    <t>Complete this section before moving to the Schematic Review</t>
  </si>
  <si>
    <t>Team Number:</t>
  </si>
  <si>
    <t>Date of DDR:</t>
  </si>
  <si>
    <t>PCB Requirements:</t>
  </si>
  <si>
    <t>Changes from Previous Version:</t>
  </si>
  <si>
    <t>N/A</t>
  </si>
  <si>
    <t>Top Level Specs</t>
  </si>
  <si>
    <t>Input / System Voltage:</t>
  </si>
  <si>
    <t>12-14V</t>
  </si>
  <si>
    <t>Max Current Draw:</t>
  </si>
  <si>
    <t>5A</t>
  </si>
  <si>
    <t>SCHEMATIC REVIEW</t>
  </si>
  <si>
    <t>This part of the DDR reviews your electronic design intent. 
When designing a new PCB you should consider all of the points below, as they ensure accurate designs.</t>
  </si>
  <si>
    <t>You should not be on this section unless PCB Design Intent and Detailed Design Intent have been completed and reviewed</t>
  </si>
  <si>
    <t>Designer</t>
  </si>
  <si>
    <t>Reviewer</t>
  </si>
  <si>
    <t>NOTES</t>
  </si>
  <si>
    <t>Electrical Rules Checker</t>
  </si>
  <si>
    <t>Has the ERC been run with no errors?</t>
  </si>
  <si>
    <t>Title Block Checklist</t>
  </si>
  <si>
    <t>Has the title block been completed to the same standard as the example below?</t>
  </si>
  <si>
    <t>Neatness / Quality Of Life</t>
  </si>
  <si>
    <t>Distinct circuits are in blocks:</t>
  </si>
  <si>
    <t>All Blocks are labelled:</t>
  </si>
  <si>
    <t>Nonstandard Blocks have functionality / explanation labelled:</t>
  </si>
  <si>
    <t>Standard blocks used where possible:</t>
  </si>
  <si>
    <t>All unused pins on components have 'no connection flags' (x)</t>
  </si>
  <si>
    <t>All names are logical</t>
  </si>
  <si>
    <t>All test points and LEDS labelled as reference signal (NOT Dx or TPx)</t>
  </si>
  <si>
    <t>Integrated Circuits (ICs)</t>
  </si>
  <si>
    <t xml:space="preserve">Have all non-regular components been researched and have datasheets? </t>
  </si>
  <si>
    <t>Fusing / Protection</t>
  </si>
  <si>
    <t>Does the board have the necessary fusing/protection?</t>
  </si>
  <si>
    <t>Fuses on traces that power external devices?</t>
  </si>
  <si>
    <t>Components</t>
  </si>
  <si>
    <t>1206 footprint used for standard components</t>
  </si>
  <si>
    <t>Used Correctly</t>
  </si>
  <si>
    <t>Standard ICs all using stocked footprint:</t>
  </si>
  <si>
    <t xml:space="preserve">Utilised standard MCHA lab components </t>
  </si>
  <si>
    <t>Voltage Regulators using 7805 SMD:</t>
  </si>
  <si>
    <t>Not Applicable</t>
  </si>
  <si>
    <t>Test Points using 1 mm through hole loop style:</t>
  </si>
  <si>
    <t>Values present and correctly specified for all components (e.g. R,C)</t>
  </si>
  <si>
    <t>Design Features</t>
  </si>
  <si>
    <t xml:space="preserve">LED for any power and 'other' signals </t>
  </si>
  <si>
    <t>VGA Connector to inspect CAN Traffic, Screw Terminal (12V_RAW, GND) for commissioning (WJ126 Style 5mm Pitch)</t>
  </si>
  <si>
    <t>Complete this section and have it reviewed by Technical Advisor before moving on to Layout Review. After completion and review of this section your team can begin breadboarding your schematic circuit.</t>
  </si>
  <si>
    <t>Test Points and LED's for important signals.</t>
  </si>
  <si>
    <t>LAYOUT REVIEW</t>
  </si>
  <si>
    <t>This part of the DDR reviews your electronic layout. 
When designing a new PCB you should consider all of the points below, as they ensure accurate designs.</t>
  </si>
  <si>
    <t>You should not be on this section unless PCB Design Intent, Detailed Design Intent and Schematic Review have been completed and reviewed and you have successfully breadboarded your circuit.</t>
  </si>
  <si>
    <t>DRC</t>
  </si>
  <si>
    <t>Design Rules Check (DRC) has been run and passed - NO errors or warnings</t>
  </si>
  <si>
    <t>Component Sync with Schematic</t>
  </si>
  <si>
    <t>Footprints of components synced with accompanying symbol in schematic?</t>
  </si>
  <si>
    <t>Component Placement</t>
  </si>
  <si>
    <t>All connectors placed such that mating connector fits</t>
  </si>
  <si>
    <t>Recepticles (e.g serial, usb port, VGA Port) are accessible when in service</t>
  </si>
  <si>
    <t>Small ICs (CAN Tranceiver etc) located accessibly (not under teensy)</t>
  </si>
  <si>
    <t>All locking tabs facing out of the board</t>
  </si>
  <si>
    <t>All Testpoints are accessible when fully populated</t>
  </si>
  <si>
    <t>Traces</t>
  </si>
  <si>
    <t>Trace placement and size has been consider for all traces</t>
  </si>
  <si>
    <t>All High Current traces have appropriatly sized trace widths</t>
  </si>
  <si>
    <t>No VIAs on solder pads (if PCB externally fabricated)?</t>
  </si>
  <si>
    <t>No traces running under the DT connector screw holes?</t>
  </si>
  <si>
    <t xml:space="preserve">IF GND PLANE USED: miminal breaks in ground plane, maximum use of VIAs </t>
  </si>
  <si>
    <t xml:space="preserve"> </t>
  </si>
  <si>
    <t>Silkscreen</t>
  </si>
  <si>
    <t>Is everything labelled correctly and to the standard of the DEN (see photo below)?</t>
  </si>
  <si>
    <t>Has the Screw Terminal Commissioning Port been labeled for 12V and GND?</t>
  </si>
  <si>
    <t>Have you considered added the values for Resistors and Capacitors to the silkscreen?</t>
  </si>
  <si>
    <t xml:space="preserve">Space constraints on most components don’t allow for </t>
  </si>
  <si>
    <t>Edge Cuts / Mounting</t>
  </si>
  <si>
    <t>All Corners Rounded</t>
  </si>
  <si>
    <t>M3 Mounting Holes with GND pad Present or the USE of DT plugs</t>
  </si>
  <si>
    <t>Edge Cuts consider space requirements</t>
  </si>
  <si>
    <t>Standard dimensions (nearest 5mm) for both board and mounting holes</t>
  </si>
  <si>
    <t>Complete this section and have it reviewed by Technical Advisor before moving on to Unit Test Checklist</t>
  </si>
  <si>
    <t>`</t>
  </si>
  <si>
    <t>CAD AND PHYSICAL DESIGN REVIEW</t>
  </si>
  <si>
    <t>This part of the DDR reviews your physical design intent.
When designing a new PCB you should consider all of the points below, as they ensure accurate designs.</t>
  </si>
  <si>
    <t>PCB STEP FILE</t>
  </si>
  <si>
    <t>PCB step file has been generated and reflects all components</t>
  </si>
  <si>
    <t>Components do not touch and have space for mating receptacles</t>
  </si>
  <si>
    <t>Board can be mounted using included mounting holes</t>
  </si>
  <si>
    <t>All components accessible by hand soldering</t>
  </si>
  <si>
    <t>Enclosure CAD</t>
  </si>
  <si>
    <t>PCB STEP file has been added to ONSHAPE Assembly</t>
  </si>
  <si>
    <t>Enclosure has been considered as well as where it will be mounted to the car</t>
  </si>
  <si>
    <t xml:space="preserve">PCB Manufacture </t>
  </si>
  <si>
    <t>Export the symbols to a PCB specific library and saved within the PCB folder?</t>
  </si>
  <si>
    <t>Used the HTML BOM plug-in to Generate the PCB's Bill of Materials?</t>
  </si>
  <si>
    <t>PRE MANUFACTURE UNIT TEST CHECKLIST</t>
  </si>
  <si>
    <t>This unit test checklist will serve as a valuble tool when comissioning your PCB. 
Fill this in thoroughly. Please
It will help to understand the correct function of your PCB, as well as design errors will become clear.</t>
  </si>
  <si>
    <t>Stage</t>
  </si>
  <si>
    <t>Function</t>
  </si>
  <si>
    <t>Description</t>
  </si>
  <si>
    <t>Verification Method</t>
  </si>
  <si>
    <t>Steps</t>
  </si>
  <si>
    <t>Result</t>
  </si>
  <si>
    <t>Notes</t>
  </si>
  <si>
    <t>Before Assembly</t>
  </si>
  <si>
    <t>QUALITY CONTROL</t>
  </si>
  <si>
    <t>PCB Quality Control</t>
  </si>
  <si>
    <t>Inspection</t>
  </si>
  <si>
    <t>Check the PCB is has been manufactured to our expected quality as well as all hardware</t>
  </si>
  <si>
    <t>During Assemby - Unpowered</t>
  </si>
  <si>
    <t>POWER DISTRUBUTION</t>
  </si>
  <si>
    <t>Power and Ground are Isolated</t>
  </si>
  <si>
    <t>Test</t>
  </si>
  <si>
    <t>Use a multimeter to read that the resistance between power and ground is an open loop</t>
  </si>
  <si>
    <t>During Assemby - Powered</t>
  </si>
  <si>
    <t>POWER INSPECTION</t>
  </si>
  <si>
    <t>Regulator Quality Control</t>
  </si>
  <si>
    <t>Using a power supply with the screw teminales, Ensuring correct connections, with the regulator, fuse and reverse polarity protection soldered, Measure the voltage ensuring 12V is only where expected, and 5V is where expected. Ensure LED's are lighting up</t>
  </si>
  <si>
    <t>VISUAL INSPECTION</t>
  </si>
  <si>
    <t>CAN Quality Control</t>
  </si>
  <si>
    <t>Using a multimeter measure the resistance across CAN high and low, Ensure temination switchs work. Test other pins on CAN transiever and ensure correct connection.</t>
  </si>
  <si>
    <t>TEENSY TEST</t>
  </si>
  <si>
    <t>Test Teensy</t>
  </si>
  <si>
    <t>Ensuring Teensy is powered correctly, connect teensy and ensure powered, this is final step before serial and DT are soldered on</t>
  </si>
  <si>
    <t>Post Assembly</t>
  </si>
  <si>
    <t>CORRECTLY ASSEMBLED</t>
  </si>
  <si>
    <t>All Hardware Accountable</t>
  </si>
  <si>
    <t>Check the PCB and KiCAD schemetic to ensure all components are accounted for.</t>
  </si>
  <si>
    <t>CONNECTOR TEST</t>
  </si>
  <si>
    <t>Test Connectors</t>
  </si>
  <si>
    <t>Using a multimeter , measure the conductivitiy for the connectors and ensure continuity where required</t>
  </si>
  <si>
    <t>CAN TEST</t>
  </si>
  <si>
    <t>Check CAN</t>
  </si>
  <si>
    <t>Connect a known CAN signal on each line and read it using the Teensy, send messages where required and ensure messages can be sent and received</t>
  </si>
  <si>
    <t>Integration Test</t>
  </si>
  <si>
    <t>POWER UP</t>
  </si>
  <si>
    <t>LV system integration</t>
  </si>
  <si>
    <t>Ensure the system can be turned on with the whole LV system</t>
  </si>
  <si>
    <t>In Service Test</t>
  </si>
  <si>
    <t>WORKING</t>
  </si>
  <si>
    <t>Does it all work?</t>
  </si>
  <si>
    <t>Demonstration</t>
  </si>
  <si>
    <t xml:space="preserve">Test if the PCB has its full intended functionality </t>
  </si>
  <si>
    <t>Add more steps if needed</t>
  </si>
  <si>
    <t>Comissioning Notes</t>
  </si>
  <si>
    <t>Please fill in comissioning notes as you are completing comissioning of your new board. Things you should note include:
 - Temporary fixes implemented onto your PCB such as jumper wires
 - Areas you wish you had designed differently
- Recommended fixes for any errors on a future revision
These will  be used when respinning your PCBs in the future, or ensuring spare / duplicate PCBs have the same temporary fixes applied even if you are not the one to do it</t>
  </si>
  <si>
    <t>Date Of Note</t>
  </si>
  <si>
    <t>Note</t>
  </si>
  <si>
    <t>Temporary Fixes</t>
  </si>
  <si>
    <t>Recomenations</t>
  </si>
  <si>
    <t>EXAMPLE: Molex Pin 1 Not Connected to DT Pin 3 As Intended</t>
  </si>
  <si>
    <t>A Jumper wire has been run between the two affected pins</t>
  </si>
  <si>
    <t>EXAMPLE: Rectify running of trace before revision 1.1</t>
  </si>
  <si>
    <t>YES / NO</t>
  </si>
  <si>
    <t>YES / NO / NA</t>
  </si>
  <si>
    <t>In Stock / Ordered?</t>
  </si>
  <si>
    <t>PCB Colour</t>
  </si>
  <si>
    <t>Unit Test Stages</t>
  </si>
  <si>
    <t>Verification Methods</t>
  </si>
  <si>
    <t>Pass/Fail</t>
  </si>
  <si>
    <t>Used/NotUsed</t>
  </si>
  <si>
    <t>Standard Supplier</t>
  </si>
  <si>
    <t>In Stock</t>
  </si>
  <si>
    <t>Green (LV ONLY)</t>
  </si>
  <si>
    <t>Not Started</t>
  </si>
  <si>
    <t>PASS</t>
  </si>
  <si>
    <t>LCSC Electronics</t>
  </si>
  <si>
    <t>Needs to be Ordered</t>
  </si>
  <si>
    <t>Red (HV Present)</t>
  </si>
  <si>
    <t>Work In Progress</t>
  </si>
  <si>
    <t>Analysis</t>
  </si>
  <si>
    <t>FAIL</t>
  </si>
  <si>
    <t>Not Used</t>
  </si>
  <si>
    <t>RS Components</t>
  </si>
  <si>
    <t>NOT APPLICABLE</t>
  </si>
  <si>
    <t>Ordered</t>
  </si>
  <si>
    <t>Completed</t>
  </si>
  <si>
    <t>Digikey</t>
  </si>
  <si>
    <t>Cannot Source</t>
  </si>
  <si>
    <t>Complete and Reviewed</t>
  </si>
  <si>
    <t>Mouser</t>
  </si>
  <si>
    <t>Final Bench Test</t>
  </si>
  <si>
    <t>Element14</t>
  </si>
  <si>
    <t>Inductor doesn't have 3D model but width, length and height have been considered</t>
  </si>
  <si>
    <t>This board is required to receive power and a CAN signal from the vehicle/testbench. This board must regulate the power received into voltages appropriate for driving a servo motor, a Teensy 4.0 microcontroller and a CAN transceiver. This board must also communicate with the vehicle/testbench via CAN protocol in order to control a moveable aero device via servo motor.</t>
  </si>
  <si>
    <t xml:space="preserve">Bold titles </t>
  </si>
  <si>
    <t xml:space="preserve">Change abbreviations into clear explanations </t>
  </si>
  <si>
    <t xml:space="preserve">Add capacitor to voltage regulation (Vin), </t>
  </si>
  <si>
    <t xml:space="preserve">12V protected TP, </t>
  </si>
  <si>
    <t xml:space="preserve">Teensy Datasheet, SS54 </t>
  </si>
  <si>
    <t xml:space="preserve">Adds blocks around circuits to clearly label components </t>
  </si>
  <si>
    <t>Maybe consider MOLEX connector for servo</t>
  </si>
  <si>
    <t xml:space="preserve">Remopve TPX from all test points, do CAN H and CAN L for TPs, Maybe consider row of test points for neatness </t>
  </si>
  <si>
    <t xml:space="preserve">Double check 3.3V trace on CAN IC, CAN H and CAN L run next to each other </t>
  </si>
  <si>
    <t>Dom Brymora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</si>
</sst>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d/mm/yyyy"/>
  </numFmts>
  <fonts count="26" x14ac:knownFonts="1">
    <font>
      <sz val="11"/>
      <color theme="1"/>
      <name val="Calibri"/>
      <family val="2"/>
      <charset val="1"/>
    </font>
    <font>
      <b/>
      <sz val="14"/>
      <color theme="4" tint="-0.249977111117893"/>
      <name val="Calibri"/>
      <family val="2"/>
      <charset val="1"/>
    </font>
    <font>
      <sz val="11"/>
      <color theme="4" tint="-0.249977111117893"/>
      <name val="Calibri"/>
      <family val="2"/>
      <charset val="1"/>
    </font>
    <font>
      <i/>
      <sz val="12"/>
      <color theme="4" tint="-0.249977111117893"/>
      <name val="Calibri"/>
      <family val="2"/>
      <charset val="1"/>
    </font>
    <font>
      <b/>
      <i/>
      <u/>
      <sz val="12"/>
      <color theme="4" tint="-0.249977111117893"/>
      <name val="Calibri"/>
      <family val="2"/>
      <charset val="1"/>
    </font>
    <font>
      <u/>
      <sz val="20"/>
      <color theme="10"/>
      <name val="Calibri"/>
      <family val="2"/>
      <charset val="1"/>
    </font>
    <font>
      <u/>
      <sz val="11"/>
      <color theme="10"/>
      <name val="Calibri"/>
      <family val="2"/>
      <charset val="1"/>
    </font>
    <font>
      <b/>
      <sz val="16"/>
      <color theme="1"/>
      <name val="Calibri"/>
      <family val="2"/>
      <charset val="1"/>
    </font>
    <font>
      <sz val="16"/>
      <color rgb="FF3F3F76"/>
      <name val="Calibri"/>
      <family val="2"/>
      <charset val="1"/>
    </font>
    <font>
      <sz val="11"/>
      <color rgb="FF3F3F76"/>
      <name val="Calibri"/>
      <family val="2"/>
      <charset val="1"/>
    </font>
    <font>
      <b/>
      <sz val="11"/>
      <color theme="1"/>
      <name val="Calibri"/>
      <family val="2"/>
      <charset val="1"/>
    </font>
    <font>
      <sz val="20"/>
      <color rgb="FFFF0000"/>
      <name val="Calibri"/>
      <family val="2"/>
      <charset val="1"/>
    </font>
    <font>
      <sz val="11"/>
      <color theme="2" tint="-0.499984740745262"/>
      <name val="Calibri"/>
      <family val="2"/>
      <charset val="1"/>
    </font>
    <font>
      <b/>
      <sz val="20"/>
      <color theme="1"/>
      <name val="Calibri"/>
      <family val="2"/>
      <charset val="1"/>
    </font>
    <font>
      <b/>
      <sz val="11"/>
      <color rgb="FFFF0000"/>
      <name val="Calibri"/>
      <family val="2"/>
      <charset val="1"/>
    </font>
    <font>
      <b/>
      <sz val="14"/>
      <color rgb="FFFF0000"/>
      <name val="Calibri"/>
      <family val="2"/>
      <charset val="1"/>
    </font>
    <font>
      <i/>
      <sz val="11"/>
      <color theme="1"/>
      <name val="Calibri"/>
      <family val="2"/>
      <charset val="1"/>
    </font>
    <font>
      <i/>
      <sz val="20"/>
      <color rgb="FFFF0000"/>
      <name val="Calibri"/>
      <family val="2"/>
      <charset val="1"/>
    </font>
    <font>
      <b/>
      <sz val="11"/>
      <color rgb="FF3F3F3F"/>
      <name val="Calibri"/>
      <family val="2"/>
      <charset val="1"/>
    </font>
    <font>
      <sz val="11"/>
      <color rgb="FF3F3F3F"/>
      <name val="Calibri"/>
      <family val="2"/>
      <charset val="1"/>
    </font>
    <font>
      <i/>
      <sz val="11"/>
      <color rgb="FF3F3F3F"/>
      <name val="Calibri"/>
      <family val="2"/>
      <charset val="1"/>
    </font>
    <font>
      <b/>
      <i/>
      <sz val="11"/>
      <color theme="1"/>
      <name val="Calibri"/>
      <family val="2"/>
      <charset val="1"/>
    </font>
    <font>
      <b/>
      <i/>
      <sz val="11"/>
      <color rgb="FF3F3F3F"/>
      <name val="Calibri"/>
      <family val="2"/>
      <charset val="1"/>
    </font>
    <font>
      <sz val="12"/>
      <color rgb="FFFF0000"/>
      <name val="Calibri"/>
      <family val="2"/>
      <charset val="1"/>
    </font>
    <font>
      <b/>
      <sz val="12"/>
      <color rgb="FFFF0000"/>
      <name val="Calibri"/>
      <family val="2"/>
      <charset val="1"/>
    </font>
    <font>
      <i/>
      <sz val="11"/>
      <color theme="4" tint="-0.249977111117893"/>
      <name val="Calibri"/>
      <family val="2"/>
      <charset val="1"/>
    </font>
  </fonts>
  <fills count="5">
    <fill>
      <patternFill patternType="none"/>
    </fill>
    <fill>
      <patternFill patternType="gray125"/>
    </fill>
    <fill>
      <patternFill patternType="solid">
        <fgColor theme="4" tint="0.39979247413556324"/>
        <bgColor rgb="FFCCCCFF"/>
      </patternFill>
    </fill>
    <fill>
      <patternFill patternType="solid">
        <fgColor rgb="FFF2F2F2"/>
        <bgColor rgb="FFFFF2CC"/>
      </patternFill>
    </fill>
    <fill>
      <patternFill patternType="solid">
        <fgColor theme="1"/>
        <bgColor rgb="FF003300"/>
      </patternFill>
    </fill>
  </fills>
  <borders count="2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right/>
      <top style="thin">
        <color auto="1"/>
      </top>
      <bottom/>
      <diagonal/>
    </border>
    <border>
      <left style="medium">
        <color auto="1"/>
      </left>
      <right/>
      <top/>
      <bottom/>
      <diagonal/>
    </border>
    <border>
      <left style="thin">
        <color rgb="FF7F7F7F"/>
      </left>
      <right style="medium">
        <color auto="1"/>
      </right>
      <top style="thin">
        <color rgb="FF7F7F7F"/>
      </top>
      <bottom style="thin">
        <color rgb="FF7F7F7F"/>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thin">
        <color rgb="FF7F7F7F"/>
      </left>
      <right style="medium">
        <color auto="1"/>
      </right>
      <top style="thin">
        <color rgb="FF7F7F7F"/>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rgb="FF7F7F7F"/>
      </left>
      <right style="thin">
        <color rgb="FF3F3F3F"/>
      </right>
      <top style="thin">
        <color rgb="FF7F7F7F"/>
      </top>
      <bottom style="thin">
        <color rgb="FF7F7F7F"/>
      </bottom>
      <diagonal/>
    </border>
    <border>
      <left style="thin">
        <color rgb="FF3F3F3F"/>
      </left>
      <right style="medium">
        <color auto="1"/>
      </right>
      <top style="thin">
        <color rgb="FF3F3F3F"/>
      </top>
      <bottom style="thin">
        <color rgb="FF3F3F3F"/>
      </bottom>
      <diagonal/>
    </border>
    <border>
      <left style="thin">
        <color rgb="FF7F7F7F"/>
      </left>
      <right style="thin">
        <color rgb="FF3F3F3F"/>
      </right>
      <top style="thin">
        <color rgb="FF7F7F7F"/>
      </top>
      <bottom style="medium">
        <color auto="1"/>
      </bottom>
      <diagonal/>
    </border>
    <border>
      <left style="thin">
        <color rgb="FF3F3F3F"/>
      </left>
      <right style="medium">
        <color auto="1"/>
      </right>
      <top style="thin">
        <color rgb="FF3F3F3F"/>
      </top>
      <bottom style="medium">
        <color auto="1"/>
      </bottom>
      <diagonal/>
    </border>
    <border>
      <left style="thin">
        <color rgb="FF7F7F7F"/>
      </left>
      <right style="thin">
        <color rgb="FF7F7F7F"/>
      </right>
      <top style="thin">
        <color rgb="FF7F7F7F"/>
      </top>
      <bottom style="medium">
        <color auto="1"/>
      </bottom>
      <diagonal/>
    </border>
  </borders>
  <cellStyleXfs count="4">
    <xf numFmtId="0" fontId="0" fillId="0" borderId="0"/>
    <xf numFmtId="0" fontId="6" fillId="0" borderId="0" applyBorder="0" applyProtection="0"/>
    <xf numFmtId="0" fontId="9" fillId="2" borderId="1" applyProtection="0"/>
    <xf numFmtId="0" fontId="18" fillId="3" borderId="2" applyProtection="0"/>
  </cellStyleXfs>
  <cellXfs count="66">
    <xf numFmtId="0" fontId="0" fillId="0" borderId="0" xfId="0"/>
    <xf numFmtId="0" fontId="1" fillId="0" borderId="0" xfId="0" applyFont="1"/>
    <xf numFmtId="0" fontId="2" fillId="0" borderId="0" xfId="0" applyFont="1"/>
    <xf numFmtId="0" fontId="7" fillId="0" borderId="0" xfId="0" applyFont="1" applyAlignment="1">
      <alignment horizontal="right"/>
    </xf>
    <xf numFmtId="0" fontId="8" fillId="2" borderId="1" xfId="2" applyFont="1" applyProtection="1"/>
    <xf numFmtId="0" fontId="0" fillId="0" borderId="5" xfId="0" applyBorder="1"/>
    <xf numFmtId="0" fontId="10" fillId="0" borderId="6" xfId="0" applyFont="1" applyBorder="1" applyAlignment="1">
      <alignment horizontal="right"/>
    </xf>
    <xf numFmtId="0" fontId="9" fillId="2" borderId="7" xfId="2" applyBorder="1" applyAlignment="1" applyProtection="1">
      <alignment horizontal="center"/>
    </xf>
    <xf numFmtId="0" fontId="0" fillId="0" borderId="6" xfId="0" applyBorder="1"/>
    <xf numFmtId="0" fontId="0" fillId="0" borderId="8" xfId="0" applyBorder="1"/>
    <xf numFmtId="0" fontId="0" fillId="0" borderId="11" xfId="0" applyBorder="1"/>
    <xf numFmtId="0" fontId="0" fillId="0" borderId="12" xfId="0" applyBorder="1"/>
    <xf numFmtId="0" fontId="15" fillId="0" borderId="0" xfId="0" applyFont="1"/>
    <xf numFmtId="0" fontId="16" fillId="0" borderId="6" xfId="0" applyFont="1" applyBorder="1" applyAlignment="1">
      <alignment horizontal="right"/>
    </xf>
    <xf numFmtId="0" fontId="16" fillId="0" borderId="11" xfId="0" applyFont="1" applyBorder="1" applyAlignment="1">
      <alignment horizontal="right"/>
    </xf>
    <xf numFmtId="0" fontId="9" fillId="2" borderId="13" xfId="2" applyBorder="1" applyAlignment="1" applyProtection="1">
      <alignment horizontal="center"/>
    </xf>
    <xf numFmtId="0" fontId="10" fillId="0" borderId="0" xfId="0" applyFont="1" applyAlignment="1">
      <alignment horizontal="right"/>
    </xf>
    <xf numFmtId="0" fontId="9" fillId="2" borderId="1" xfId="2" applyProtection="1"/>
    <xf numFmtId="164" fontId="9" fillId="2" borderId="1" xfId="2" applyNumberFormat="1" applyProtection="1"/>
    <xf numFmtId="0" fontId="10" fillId="0" borderId="0" xfId="0" applyFont="1" applyAlignment="1">
      <alignment horizontal="left"/>
    </xf>
    <xf numFmtId="0" fontId="10" fillId="0" borderId="0" xfId="0" applyFont="1"/>
    <xf numFmtId="0" fontId="0" fillId="0" borderId="0" xfId="0" applyAlignment="1">
      <alignment horizontal="center"/>
    </xf>
    <xf numFmtId="0" fontId="1" fillId="0" borderId="0" xfId="0" applyFont="1" applyAlignment="1">
      <alignment horizontal="center"/>
    </xf>
    <xf numFmtId="0" fontId="15" fillId="0" borderId="0" xfId="0" applyFont="1" applyAlignment="1">
      <alignment horizontal="center"/>
    </xf>
    <xf numFmtId="0" fontId="0" fillId="0" borderId="15" xfId="0" applyBorder="1"/>
    <xf numFmtId="0" fontId="19" fillId="3" borderId="17" xfId="3" applyFont="1" applyBorder="1" applyProtection="1"/>
    <xf numFmtId="0" fontId="19" fillId="3" borderId="19" xfId="3" applyFont="1" applyBorder="1" applyProtection="1"/>
    <xf numFmtId="0" fontId="10" fillId="0" borderId="0" xfId="0" applyFont="1" applyAlignment="1">
      <alignment horizontal="center"/>
    </xf>
    <xf numFmtId="0" fontId="9" fillId="2" borderId="1" xfId="2" applyAlignment="1" applyProtection="1">
      <alignment horizontal="center"/>
    </xf>
    <xf numFmtId="0" fontId="20" fillId="3" borderId="2" xfId="3" applyFont="1" applyProtection="1"/>
    <xf numFmtId="0" fontId="16" fillId="0" borderId="0" xfId="0" applyFont="1" applyAlignment="1">
      <alignment horizontal="right"/>
    </xf>
    <xf numFmtId="0" fontId="21" fillId="0" borderId="0" xfId="0" applyFont="1" applyAlignment="1">
      <alignment horizontal="center"/>
    </xf>
    <xf numFmtId="0" fontId="16" fillId="0" borderId="0" xfId="0" applyFont="1" applyAlignment="1">
      <alignment horizontal="right" wrapText="1"/>
    </xf>
    <xf numFmtId="0" fontId="9" fillId="2" borderId="1" xfId="2" applyAlignment="1" applyProtection="1">
      <alignment horizontal="center" wrapText="1"/>
    </xf>
    <xf numFmtId="0" fontId="20" fillId="3" borderId="2" xfId="3" applyFont="1" applyAlignment="1" applyProtection="1">
      <alignment wrapText="1"/>
    </xf>
    <xf numFmtId="0" fontId="20" fillId="3" borderId="17" xfId="3" applyFont="1" applyBorder="1" applyProtection="1"/>
    <xf numFmtId="0" fontId="20" fillId="3" borderId="19" xfId="3" applyFont="1" applyBorder="1" applyProtection="1"/>
    <xf numFmtId="0" fontId="0" fillId="0" borderId="0" xfId="0" applyAlignment="1">
      <alignment horizontal="right"/>
    </xf>
    <xf numFmtId="0" fontId="22" fillId="3" borderId="2" xfId="3" applyFont="1" applyProtection="1"/>
    <xf numFmtId="0" fontId="23" fillId="0" borderId="0" xfId="0" applyFont="1" applyAlignment="1">
      <alignment horizontal="left"/>
    </xf>
    <xf numFmtId="0" fontId="24" fillId="0" borderId="0" xfId="0" applyFont="1" applyAlignment="1">
      <alignment horizontal="left"/>
    </xf>
    <xf numFmtId="0" fontId="9" fillId="2" borderId="20" xfId="2" applyBorder="1" applyAlignment="1" applyProtection="1">
      <alignment horizontal="center"/>
    </xf>
    <xf numFmtId="0" fontId="0" fillId="0" borderId="0" xfId="0" applyAlignment="1">
      <alignment wrapText="1"/>
    </xf>
    <xf numFmtId="0" fontId="16" fillId="0" borderId="0" xfId="0" applyFont="1" applyAlignment="1">
      <alignment wrapText="1"/>
    </xf>
    <xf numFmtId="165" fontId="0" fillId="0" borderId="0" xfId="0" applyNumberFormat="1"/>
    <xf numFmtId="0" fontId="16" fillId="0" borderId="0" xfId="0" applyFont="1"/>
    <xf numFmtId="0" fontId="11" fillId="0" borderId="4" xfId="0" applyFont="1" applyBorder="1" applyAlignment="1">
      <alignment horizontal="center" vertical="center" wrapText="1"/>
    </xf>
    <xf numFmtId="0" fontId="3" fillId="0" borderId="0" xfId="0" applyFont="1" applyAlignment="1">
      <alignment horizontal="left" vertical="top" wrapText="1"/>
    </xf>
    <xf numFmtId="0" fontId="17" fillId="0" borderId="4" xfId="0" applyFont="1" applyBorder="1" applyAlignment="1">
      <alignment horizontal="center" vertical="center" wrapText="1"/>
    </xf>
    <xf numFmtId="0" fontId="10" fillId="0" borderId="14" xfId="0" applyFont="1" applyBorder="1" applyAlignment="1">
      <alignment horizontal="left"/>
    </xf>
    <xf numFmtId="0" fontId="9" fillId="2" borderId="16" xfId="2" applyBorder="1" applyAlignment="1" applyProtection="1">
      <alignment horizontal="center"/>
    </xf>
    <xf numFmtId="0" fontId="9" fillId="2" borderId="18" xfId="2" applyBorder="1" applyAlignment="1" applyProtection="1">
      <alignment horizontal="center"/>
    </xf>
    <xf numFmtId="0" fontId="10" fillId="0" borderId="9" xfId="0" applyFont="1" applyBorder="1" applyAlignment="1">
      <alignment horizontal="center"/>
    </xf>
    <xf numFmtId="0" fontId="5" fillId="0" borderId="3" xfId="1" applyFont="1" applyBorder="1" applyAlignment="1" applyProtection="1">
      <alignment horizontal="center" vertical="center"/>
    </xf>
    <xf numFmtId="0" fontId="10" fillId="0" borderId="4" xfId="0" applyFont="1" applyBorder="1" applyAlignment="1">
      <alignment horizontal="center" vertical="center" wrapText="1"/>
    </xf>
    <xf numFmtId="0" fontId="12" fillId="0" borderId="0" xfId="0" applyFont="1" applyAlignment="1">
      <alignment horizontal="center" vertical="top" wrapText="1"/>
    </xf>
    <xf numFmtId="0" fontId="13" fillId="4" borderId="10" xfId="0" applyFont="1" applyFill="1" applyBorder="1" applyAlignment="1">
      <alignment horizontal="center"/>
    </xf>
    <xf numFmtId="0" fontId="10" fillId="0" borderId="3" xfId="0" applyFont="1" applyBorder="1" applyAlignment="1">
      <alignment horizontal="center"/>
    </xf>
    <xf numFmtId="0" fontId="12" fillId="0" borderId="9" xfId="0" applyFont="1" applyBorder="1" applyAlignment="1">
      <alignment horizontal="center" vertical="top" wrapText="1"/>
    </xf>
    <xf numFmtId="0" fontId="9" fillId="2" borderId="1" xfId="2" applyAlignment="1" applyProtection="1">
      <alignment horizontal="left" vertical="top"/>
    </xf>
    <xf numFmtId="0" fontId="10" fillId="0" borderId="3" xfId="0" applyFont="1" applyBorder="1" applyAlignment="1">
      <alignment horizontal="left"/>
    </xf>
    <xf numFmtId="0" fontId="10" fillId="0" borderId="0" xfId="0" applyFont="1" applyAlignment="1">
      <alignment horizontal="left"/>
    </xf>
    <xf numFmtId="0" fontId="9" fillId="2" borderId="1" xfId="2" applyAlignment="1" applyProtection="1">
      <alignment horizontal="left" vertical="top" wrapText="1"/>
    </xf>
    <xf numFmtId="0" fontId="3" fillId="0" borderId="0" xfId="0" applyFont="1" applyAlignment="1">
      <alignment horizontal="left" wrapText="1"/>
    </xf>
    <xf numFmtId="0" fontId="25" fillId="0" borderId="0" xfId="0" applyFont="1" applyAlignment="1">
      <alignment horizontal="left" vertical="top" wrapText="1"/>
    </xf>
    <xf numFmtId="14" fontId="8" fillId="2" borderId="1" xfId="2" applyNumberFormat="1" applyFont="1" applyProtection="1"/>
  </cellXfs>
  <cellStyles count="4">
    <cellStyle name="Excel Built-in Input" xfId="2" xr:uid="{00000000-0005-0000-0000-000007000000}"/>
    <cellStyle name="Excel Built-in Output" xfId="3" xr:uid="{00000000-0005-0000-0000-000008000000}"/>
    <cellStyle name="Hyperlink" xfId="1" builtinId="8"/>
    <cellStyle name="Normal" xfId="0" builtinId="0"/>
  </cellStyles>
  <dxfs count="78">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color rgb="FFFFC000"/>
      </font>
      <fill>
        <patternFill>
          <bgColor theme="7" tint="0.79979857783745845"/>
        </patternFill>
      </fill>
    </dxf>
    <dxf>
      <font>
        <color rgb="FFFF0000"/>
      </font>
      <fill>
        <patternFill>
          <bgColor rgb="FFFF9393"/>
        </patternFill>
      </fill>
    </dxf>
    <dxf>
      <font>
        <color rgb="FF00B050"/>
      </font>
      <fill>
        <patternFill>
          <bgColor theme="9" tint="0.59978026673177287"/>
        </patternFill>
      </fill>
    </dxf>
    <dxf>
      <font>
        <color rgb="FF00B050"/>
      </font>
      <fill>
        <patternFill>
          <bgColor theme="9" tint="0.59978026673177287"/>
        </patternFill>
      </fill>
    </dxf>
    <dxf>
      <font>
        <b/>
        <i val="0"/>
        <color rgb="FF00B050"/>
      </font>
    </dxf>
    <dxf>
      <font>
        <b/>
        <i val="0"/>
        <color rgb="FFFF0000"/>
      </font>
    </dxf>
  </dxfs>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7F7F7F"/>
      <rgbColor rgb="FF9999FF"/>
      <rgbColor rgb="FF993366"/>
      <rgbColor rgb="FFFFF2CC"/>
      <rgbColor rgb="FFCCFFFF"/>
      <rgbColor rgb="FF660066"/>
      <rgbColor rgb="FFFF9393"/>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2E75B6"/>
      <rgbColor rgb="FF33CCCC"/>
      <rgbColor rgb="FF99CC00"/>
      <rgbColor rgb="FFFFC000"/>
      <rgbColor rgb="FFFF9900"/>
      <rgbColor rgb="FFFF6600"/>
      <rgbColor rgb="FF767171"/>
      <rgbColor rgb="FF969696"/>
      <rgbColor rgb="FF003366"/>
      <rgbColor rgb="FF00B050"/>
      <rgbColor rgb="FF003300"/>
      <rgbColor rgb="FF333300"/>
      <rgbColor rgb="FF993300"/>
      <rgbColor rgb="FF993366"/>
      <rgbColor rgb="FF3F3F76"/>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2009880</xdr:colOff>
      <xdr:row>50</xdr:row>
      <xdr:rowOff>111960</xdr:rowOff>
    </xdr:from>
    <xdr:to>
      <xdr:col>3</xdr:col>
      <xdr:colOff>2540160</xdr:colOff>
      <xdr:row>64</xdr:row>
      <xdr:rowOff>151560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2009880" y="10645920"/>
          <a:ext cx="8695080" cy="27064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811440</xdr:colOff>
      <xdr:row>50</xdr:row>
      <xdr:rowOff>21240</xdr:rowOff>
    </xdr:from>
    <xdr:to>
      <xdr:col>3</xdr:col>
      <xdr:colOff>3575880</xdr:colOff>
      <xdr:row>72</xdr:row>
      <xdr:rowOff>26640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811440" y="10540800"/>
          <a:ext cx="10682280" cy="4196160"/>
        </a:xfrm>
        <a:prstGeom prst="rect">
          <a:avLst/>
        </a:prstGeom>
        <a:noFill/>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G20" totalsRowShown="0">
  <autoFilter ref="A9:G20" xr:uid="{00000000-0009-0000-0100-000001000000}"/>
  <tableColumns count="7">
    <tableColumn id="1" xr3:uid="{00000000-0010-0000-0000-000001000000}" name="Stage"/>
    <tableColumn id="2" xr3:uid="{00000000-0010-0000-0000-000002000000}" name="Function"/>
    <tableColumn id="3" xr3:uid="{00000000-0010-0000-0000-000003000000}" name="Description"/>
    <tableColumn id="4" xr3:uid="{00000000-0010-0000-0000-000004000000}" name="Verification Method"/>
    <tableColumn id="5" xr3:uid="{00000000-0010-0000-0000-000005000000}" name="Steps"/>
    <tableColumn id="6" xr3:uid="{00000000-0010-0000-0000-000006000000}" name="Result"/>
    <tableColumn id="7" xr3:uid="{00000000-0010-0000-0000-000007000000}" name="Not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4" displayName="Table14" ref="A9:D13" totalsRowShown="0">
  <autoFilter ref="A9:D13" xr:uid="{00000000-0009-0000-0100-000002000000}"/>
  <tableColumns count="4">
    <tableColumn id="1" xr3:uid="{00000000-0010-0000-0100-000001000000}" name="Date Of Note"/>
    <tableColumn id="2" xr3:uid="{00000000-0010-0000-0100-000002000000}" name="Note"/>
    <tableColumn id="3" xr3:uid="{00000000-0010-0000-0100-000003000000}" name="Temporary Fixes"/>
    <tableColumn id="4" xr3:uid="{00000000-0010-0000-0100-000004000000}" name="Recomenation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A1:J8" totalsRowShown="0">
  <autoFilter ref="A1:J8" xr:uid="{00000000-0009-0000-0100-000003000000}"/>
  <tableColumns count="10">
    <tableColumn id="1" xr3:uid="{00000000-0010-0000-0200-000001000000}" name="YES / NO"/>
    <tableColumn id="2" xr3:uid="{00000000-0010-0000-0200-000002000000}" name="YES / NO / NA"/>
    <tableColumn id="3" xr3:uid="{00000000-0010-0000-0200-000003000000}" name="In Stock / Ordered?"/>
    <tableColumn id="4" xr3:uid="{00000000-0010-0000-0200-000004000000}" name="PCB Colour"/>
    <tableColumn id="5" xr3:uid="{00000000-0010-0000-0200-000005000000}" name="Stage"/>
    <tableColumn id="6" xr3:uid="{00000000-0010-0000-0200-000006000000}" name="Unit Test Stages"/>
    <tableColumn id="7" xr3:uid="{00000000-0010-0000-0200-000007000000}" name="Verification Methods"/>
    <tableColumn id="8" xr3:uid="{00000000-0010-0000-0200-000008000000}" name="Pass/Fail"/>
    <tableColumn id="9" xr3:uid="{00000000-0010-0000-0200-000009000000}" name="Used/NotUsed"/>
    <tableColumn id="10" xr3:uid="{00000000-0010-0000-0200-00000A000000}" name="Standard Supplie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_layouts/15/doc.aspx%3Fsourcedoc=%7Be112eed9-42b9-464d-a448-c2a04275a375%7D&amp;action=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6"/>
  <sheetViews>
    <sheetView topLeftCell="A2" zoomScale="115" zoomScaleNormal="173" workbookViewId="0">
      <selection activeCell="D33" sqref="D33"/>
    </sheetView>
  </sheetViews>
  <sheetFormatPr baseColWidth="10" defaultColWidth="8.6640625" defaultRowHeight="15" x14ac:dyDescent="0.2"/>
  <cols>
    <col min="1" max="1" width="27.1640625" customWidth="1"/>
    <col min="2" max="2" width="68.6640625" customWidth="1"/>
  </cols>
  <sheetData>
    <row r="1" spans="1:10" ht="19" x14ac:dyDescent="0.25">
      <c r="A1" s="1" t="s">
        <v>0</v>
      </c>
      <c r="B1" s="2"/>
    </row>
    <row r="2" spans="1:10" ht="80.25" customHeight="1" x14ac:dyDescent="0.2">
      <c r="A2" s="47" t="s">
        <v>1</v>
      </c>
      <c r="B2" s="47"/>
    </row>
    <row r="3" spans="1:10" x14ac:dyDescent="0.2">
      <c r="E3" s="53" t="s">
        <v>2</v>
      </c>
      <c r="F3" s="53"/>
      <c r="G3" s="53"/>
      <c r="H3" s="53"/>
      <c r="I3" s="53"/>
      <c r="J3" s="53"/>
    </row>
    <row r="4" spans="1:10" ht="21" x14ac:dyDescent="0.25">
      <c r="A4" s="3" t="s">
        <v>3</v>
      </c>
      <c r="B4" s="4" t="s">
        <v>4</v>
      </c>
      <c r="E4" s="53"/>
      <c r="F4" s="53"/>
      <c r="G4" s="53"/>
      <c r="H4" s="53"/>
      <c r="I4" s="53"/>
      <c r="J4" s="53"/>
    </row>
    <row r="5" spans="1:10" ht="21" customHeight="1" x14ac:dyDescent="0.25">
      <c r="A5" s="3" t="s">
        <v>5</v>
      </c>
      <c r="B5" s="4" t="s">
        <v>6</v>
      </c>
      <c r="E5" s="54" t="s">
        <v>7</v>
      </c>
      <c r="F5" s="54"/>
      <c r="G5" s="54"/>
      <c r="H5" s="54"/>
      <c r="I5" s="54"/>
      <c r="J5" s="54"/>
    </row>
    <row r="6" spans="1:10" ht="21" customHeight="1" x14ac:dyDescent="0.25">
      <c r="A6" s="3" t="s">
        <v>8</v>
      </c>
      <c r="B6" s="4">
        <v>1</v>
      </c>
      <c r="E6" s="54"/>
      <c r="F6" s="54"/>
      <c r="G6" s="54"/>
      <c r="H6" s="54"/>
      <c r="I6" s="54"/>
      <c r="J6" s="54"/>
    </row>
    <row r="8" spans="1:10" ht="21" x14ac:dyDescent="0.25">
      <c r="A8" s="3" t="s">
        <v>9</v>
      </c>
      <c r="B8" s="65">
        <v>46311</v>
      </c>
    </row>
    <row r="9" spans="1:10" ht="19.5" customHeight="1" x14ac:dyDescent="0.25">
      <c r="A9" s="3" t="s">
        <v>10</v>
      </c>
      <c r="B9" s="4" t="s">
        <v>240</v>
      </c>
      <c r="E9" s="46" t="s">
        <v>11</v>
      </c>
      <c r="F9" s="46"/>
      <c r="G9" s="46"/>
      <c r="H9" s="46"/>
      <c r="I9" s="46"/>
      <c r="J9" s="46"/>
    </row>
    <row r="10" spans="1:10" ht="21" customHeight="1" x14ac:dyDescent="0.25">
      <c r="A10" s="3" t="s">
        <v>12</v>
      </c>
      <c r="B10" s="4"/>
      <c r="E10" s="46"/>
      <c r="F10" s="46"/>
      <c r="G10" s="46"/>
      <c r="H10" s="46"/>
      <c r="I10" s="46"/>
      <c r="J10" s="46"/>
    </row>
    <row r="11" spans="1:10" ht="21" customHeight="1" x14ac:dyDescent="0.25">
      <c r="A11" s="3" t="s">
        <v>13</v>
      </c>
      <c r="B11" s="4"/>
      <c r="E11" s="46"/>
      <c r="F11" s="46"/>
      <c r="G11" s="46"/>
      <c r="H11" s="46"/>
      <c r="I11" s="46"/>
      <c r="J11" s="46"/>
    </row>
    <row r="12" spans="1:10" ht="57" customHeight="1" x14ac:dyDescent="0.2">
      <c r="A12" s="55" t="s">
        <v>14</v>
      </c>
      <c r="B12" s="55"/>
    </row>
    <row r="13" spans="1:10" x14ac:dyDescent="0.2">
      <c r="A13" s="5"/>
      <c r="B13" s="5"/>
      <c r="C13" s="5"/>
      <c r="D13" s="5"/>
      <c r="E13" s="5"/>
      <c r="F13" s="5"/>
      <c r="G13" s="5"/>
      <c r="H13" s="5"/>
      <c r="I13" s="5"/>
      <c r="J13" s="5"/>
    </row>
    <row r="14" spans="1:10" x14ac:dyDescent="0.2">
      <c r="A14" s="57" t="s">
        <v>15</v>
      </c>
      <c r="B14" s="57"/>
    </row>
    <row r="15" spans="1:10" x14ac:dyDescent="0.2">
      <c r="A15" s="6" t="s">
        <v>16</v>
      </c>
      <c r="B15" s="7" t="str">
        <f>'PCB Design Intent'!B5</f>
        <v>YES</v>
      </c>
    </row>
    <row r="16" spans="1:10" x14ac:dyDescent="0.2">
      <c r="A16" s="6" t="s">
        <v>17</v>
      </c>
      <c r="B16" s="7" t="str">
        <f>'PCB Design Intent'!B6</f>
        <v>YES</v>
      </c>
    </row>
    <row r="17" spans="1:10" x14ac:dyDescent="0.2">
      <c r="A17" s="8"/>
      <c r="B17" s="9"/>
    </row>
    <row r="18" spans="1:10" ht="15" customHeight="1" x14ac:dyDescent="0.2">
      <c r="A18" s="52" t="s">
        <v>18</v>
      </c>
      <c r="B18" s="52"/>
      <c r="E18" s="46" t="s">
        <v>19</v>
      </c>
      <c r="F18" s="46"/>
      <c r="G18" s="46"/>
      <c r="H18" s="46"/>
      <c r="I18" s="46"/>
      <c r="J18" s="46"/>
    </row>
    <row r="19" spans="1:10" ht="15" customHeight="1" x14ac:dyDescent="0.2">
      <c r="A19" s="6" t="s">
        <v>16</v>
      </c>
      <c r="B19" s="7" t="str">
        <f>'Schematic Review'!B6</f>
        <v>YES</v>
      </c>
      <c r="E19" s="46"/>
      <c r="F19" s="46"/>
      <c r="G19" s="46"/>
      <c r="H19" s="46"/>
      <c r="I19" s="46"/>
      <c r="J19" s="46"/>
    </row>
    <row r="20" spans="1:10" ht="15" customHeight="1" x14ac:dyDescent="0.2">
      <c r="A20" s="6" t="s">
        <v>17</v>
      </c>
      <c r="B20" s="7" t="str">
        <f>'Schematic Review'!B7</f>
        <v>YES</v>
      </c>
      <c r="E20" s="46"/>
      <c r="F20" s="46"/>
      <c r="G20" s="46"/>
      <c r="H20" s="46"/>
      <c r="I20" s="46"/>
      <c r="J20" s="46"/>
    </row>
    <row r="21" spans="1:10" x14ac:dyDescent="0.2">
      <c r="A21" s="6"/>
      <c r="B21" s="9"/>
      <c r="E21" s="46"/>
      <c r="F21" s="46"/>
      <c r="G21" s="46"/>
      <c r="H21" s="46"/>
      <c r="I21" s="46"/>
      <c r="J21" s="46"/>
    </row>
    <row r="22" spans="1:10" ht="14.25" customHeight="1" x14ac:dyDescent="0.2">
      <c r="A22" s="52" t="s">
        <v>20</v>
      </c>
      <c r="B22" s="52"/>
      <c r="E22" s="46"/>
      <c r="F22" s="46"/>
      <c r="G22" s="46"/>
      <c r="H22" s="46"/>
      <c r="I22" s="46"/>
      <c r="J22" s="46"/>
    </row>
    <row r="23" spans="1:10" ht="14.25" customHeight="1" x14ac:dyDescent="0.2">
      <c r="A23" s="6" t="s">
        <v>16</v>
      </c>
      <c r="B23" s="7" t="str">
        <f>'Layout Review'!B6</f>
        <v>YES</v>
      </c>
      <c r="E23" s="46"/>
      <c r="F23" s="46"/>
      <c r="G23" s="46"/>
      <c r="H23" s="46"/>
      <c r="I23" s="46"/>
      <c r="J23" s="46"/>
    </row>
    <row r="24" spans="1:10" x14ac:dyDescent="0.2">
      <c r="A24" s="6" t="s">
        <v>17</v>
      </c>
      <c r="B24" s="7" t="str">
        <f>'Layout Review'!B7</f>
        <v>YES</v>
      </c>
    </row>
    <row r="25" spans="1:10" x14ac:dyDescent="0.2">
      <c r="A25" s="8"/>
      <c r="B25" s="9"/>
    </row>
    <row r="26" spans="1:10" x14ac:dyDescent="0.2">
      <c r="A26" s="52" t="s">
        <v>21</v>
      </c>
      <c r="B26" s="52"/>
    </row>
    <row r="27" spans="1:10" x14ac:dyDescent="0.2">
      <c r="A27" s="6" t="s">
        <v>16</v>
      </c>
      <c r="B27" s="7" t="str">
        <f>'Unit Test Checklist'!B5</f>
        <v>NO</v>
      </c>
    </row>
    <row r="28" spans="1:10" x14ac:dyDescent="0.2">
      <c r="A28" s="6" t="s">
        <v>17</v>
      </c>
      <c r="B28" s="7" t="str">
        <f>'Unit Test Checklist'!B6</f>
        <v>NO</v>
      </c>
    </row>
    <row r="29" spans="1:10" x14ac:dyDescent="0.2">
      <c r="A29" s="8"/>
      <c r="B29" s="9"/>
    </row>
    <row r="30" spans="1:10" x14ac:dyDescent="0.2">
      <c r="A30" s="52" t="s">
        <v>22</v>
      </c>
      <c r="B30" s="52"/>
    </row>
    <row r="31" spans="1:10" x14ac:dyDescent="0.2">
      <c r="A31" s="6" t="s">
        <v>16</v>
      </c>
      <c r="B31" s="7" t="str">
        <f>'CAD &amp; Physical Design Review'!B5</f>
        <v>NO</v>
      </c>
    </row>
    <row r="32" spans="1:10" x14ac:dyDescent="0.2">
      <c r="A32" s="6" t="s">
        <v>17</v>
      </c>
      <c r="B32" s="7" t="str">
        <f>'CAD &amp; Physical Design Review'!B6</f>
        <v>NO</v>
      </c>
    </row>
    <row r="33" spans="1:2" x14ac:dyDescent="0.2">
      <c r="A33" s="8"/>
      <c r="B33" s="9"/>
    </row>
    <row r="34" spans="1:2" ht="26" x14ac:dyDescent="0.3">
      <c r="A34" s="56" t="str">
        <f>IF((AND(B15="YES",B16="YES",B19="YES",B20="YES",B23="YES",B24="YES",B27="YES",B28="YES",B31="YES",B32="YES")), "PCB REVIEWED AND READY FOR MANUFACTURE", "REVIEW NOT COMPLETE")</f>
        <v>REVIEW NOT COMPLETE</v>
      </c>
      <c r="B34" s="56"/>
    </row>
    <row r="37" spans="1:2" x14ac:dyDescent="0.2">
      <c r="A37" s="57" t="s">
        <v>23</v>
      </c>
      <c r="B37" s="57"/>
    </row>
    <row r="38" spans="1:2" ht="23.25" customHeight="1" x14ac:dyDescent="0.2">
      <c r="A38" s="58" t="s">
        <v>24</v>
      </c>
      <c r="B38" s="58"/>
    </row>
    <row r="39" spans="1:2" x14ac:dyDescent="0.2">
      <c r="A39" s="8"/>
      <c r="B39" s="9" t="s">
        <v>25</v>
      </c>
    </row>
    <row r="40" spans="1:2" x14ac:dyDescent="0.2">
      <c r="A40" s="8"/>
      <c r="B40" s="9" t="s">
        <v>26</v>
      </c>
    </row>
    <row r="41" spans="1:2" x14ac:dyDescent="0.2">
      <c r="A41" s="8"/>
      <c r="B41" s="9" t="s">
        <v>27</v>
      </c>
    </row>
    <row r="42" spans="1:2" x14ac:dyDescent="0.2">
      <c r="A42" s="8"/>
      <c r="B42" s="9" t="s">
        <v>28</v>
      </c>
    </row>
    <row r="43" spans="1:2" x14ac:dyDescent="0.2">
      <c r="A43" s="8"/>
      <c r="B43" s="9" t="s">
        <v>29</v>
      </c>
    </row>
    <row r="44" spans="1:2" x14ac:dyDescent="0.2">
      <c r="A44" s="8"/>
      <c r="B44" s="9" t="s">
        <v>30</v>
      </c>
    </row>
    <row r="45" spans="1:2" x14ac:dyDescent="0.2">
      <c r="A45" s="8"/>
      <c r="B45" s="9" t="s">
        <v>31</v>
      </c>
    </row>
    <row r="46" spans="1:2" x14ac:dyDescent="0.2">
      <c r="A46" s="8"/>
      <c r="B46" s="9" t="s">
        <v>32</v>
      </c>
    </row>
    <row r="47" spans="1:2" x14ac:dyDescent="0.2">
      <c r="A47" s="8"/>
      <c r="B47" s="9" t="s">
        <v>33</v>
      </c>
    </row>
    <row r="48" spans="1:2" x14ac:dyDescent="0.2">
      <c r="A48" s="8"/>
      <c r="B48" s="9" t="s">
        <v>34</v>
      </c>
    </row>
    <row r="49" spans="1:2" x14ac:dyDescent="0.2">
      <c r="A49" s="8"/>
      <c r="B49" s="9" t="s">
        <v>35</v>
      </c>
    </row>
    <row r="50" spans="1:2" x14ac:dyDescent="0.2">
      <c r="A50" s="8"/>
      <c r="B50" s="9" t="s">
        <v>36</v>
      </c>
    </row>
    <row r="51" spans="1:2" x14ac:dyDescent="0.2">
      <c r="A51" s="8"/>
      <c r="B51" s="9" t="s">
        <v>37</v>
      </c>
    </row>
    <row r="52" spans="1:2" x14ac:dyDescent="0.2">
      <c r="A52" s="8"/>
      <c r="B52" s="9" t="s">
        <v>38</v>
      </c>
    </row>
    <row r="53" spans="1:2" x14ac:dyDescent="0.2">
      <c r="A53" s="8"/>
      <c r="B53" s="9" t="s">
        <v>29</v>
      </c>
    </row>
    <row r="54" spans="1:2" x14ac:dyDescent="0.2">
      <c r="A54" s="8"/>
      <c r="B54" s="9" t="s">
        <v>39</v>
      </c>
    </row>
    <row r="55" spans="1:2" x14ac:dyDescent="0.2">
      <c r="A55" s="8"/>
      <c r="B55" s="9" t="s">
        <v>40</v>
      </c>
    </row>
    <row r="56" spans="1:2" x14ac:dyDescent="0.2">
      <c r="A56" s="10"/>
      <c r="B56" s="11" t="s">
        <v>41</v>
      </c>
    </row>
  </sheetData>
  <mergeCells count="14">
    <mergeCell ref="A30:B30"/>
    <mergeCell ref="A34:B34"/>
    <mergeCell ref="A37:B37"/>
    <mergeCell ref="A38:B38"/>
    <mergeCell ref="A14:B14"/>
    <mergeCell ref="A18:B18"/>
    <mergeCell ref="E18:J23"/>
    <mergeCell ref="A22:B22"/>
    <mergeCell ref="A26:B26"/>
    <mergeCell ref="A2:B2"/>
    <mergeCell ref="E3:J4"/>
    <mergeCell ref="E5:J6"/>
    <mergeCell ref="E9:J11"/>
    <mergeCell ref="A12:B12"/>
  </mergeCells>
  <conditionalFormatting sqref="A34:B34">
    <cfRule type="containsText" dxfId="77" priority="22" operator="containsText" text="REVIEW NOT COMPLETE">
      <formula>NOT(ISERROR(SEARCH("REVIEW NOT COMPLETE",A34)))</formula>
    </cfRule>
    <cfRule type="containsText" dxfId="76" priority="23" operator="containsText" text="PCB REVIEWED AND READY FOR MANUFACTURE">
      <formula>NOT(ISERROR(SEARCH("PCB REVIEWED AND READY FOR MANUFACTURE",A34)))</formula>
    </cfRule>
  </conditionalFormatting>
  <conditionalFormatting sqref="B15:B16">
    <cfRule type="containsText" dxfId="75" priority="2" operator="containsText" text="Not Applicable">
      <formula>NOT(ISERROR(SEARCH("Not Applicable",B15)))</formula>
    </cfRule>
    <cfRule type="containsText" dxfId="74" priority="3" operator="containsText" text="Yes">
      <formula>NOT(ISERROR(SEARCH("Yes",B15)))</formula>
    </cfRule>
    <cfRule type="containsText" dxfId="73" priority="4" operator="containsText" text="No">
      <formula>NOT(ISERROR(SEARCH("No",B15)))</formula>
    </cfRule>
    <cfRule type="expression" dxfId="72" priority="5">
      <formula>LEN(TRIM(B15))=0</formula>
    </cfRule>
  </conditionalFormatting>
  <conditionalFormatting sqref="B19:B20">
    <cfRule type="containsText" dxfId="71" priority="6" operator="containsText" text="Not Applicable">
      <formula>NOT(ISERROR(SEARCH("Not Applicable",B19)))</formula>
    </cfRule>
    <cfRule type="containsText" dxfId="70" priority="7" operator="containsText" text="Yes">
      <formula>NOT(ISERROR(SEARCH("Yes",B19)))</formula>
    </cfRule>
    <cfRule type="containsText" dxfId="69" priority="8" operator="containsText" text="No">
      <formula>NOT(ISERROR(SEARCH("No",B19)))</formula>
    </cfRule>
    <cfRule type="expression" dxfId="68" priority="9">
      <formula>LEN(TRIM(B19))=0</formula>
    </cfRule>
  </conditionalFormatting>
  <conditionalFormatting sqref="B23:B24">
    <cfRule type="containsText" dxfId="67" priority="10" operator="containsText" text="Not Applicable">
      <formula>NOT(ISERROR(SEARCH("Not Applicable",B23)))</formula>
    </cfRule>
    <cfRule type="containsText" dxfId="66" priority="11" operator="containsText" text="Yes">
      <formula>NOT(ISERROR(SEARCH("Yes",B23)))</formula>
    </cfRule>
    <cfRule type="containsText" dxfId="65" priority="12" operator="containsText" text="No">
      <formula>NOT(ISERROR(SEARCH("No",B23)))</formula>
    </cfRule>
    <cfRule type="expression" dxfId="64" priority="13">
      <formula>LEN(TRIM(B23))=0</formula>
    </cfRule>
  </conditionalFormatting>
  <conditionalFormatting sqref="B27:B28">
    <cfRule type="containsText" dxfId="63" priority="14" operator="containsText" text="Not Applicable">
      <formula>NOT(ISERROR(SEARCH("Not Applicable",B27)))</formula>
    </cfRule>
    <cfRule type="containsText" dxfId="62" priority="15" operator="containsText" text="Yes">
      <formula>NOT(ISERROR(SEARCH("Yes",B27)))</formula>
    </cfRule>
    <cfRule type="containsText" dxfId="61" priority="16" operator="containsText" text="No">
      <formula>NOT(ISERROR(SEARCH("No",B27)))</formula>
    </cfRule>
    <cfRule type="expression" dxfId="60" priority="17">
      <formula>LEN(TRIM(B27))=0</formula>
    </cfRule>
  </conditionalFormatting>
  <conditionalFormatting sqref="B31:B32">
    <cfRule type="containsText" dxfId="59" priority="18" operator="containsText" text="Not Applicable">
      <formula>NOT(ISERROR(SEARCH("Not Applicable",B31)))</formula>
    </cfRule>
    <cfRule type="containsText" dxfId="58" priority="19" operator="containsText" text="Yes">
      <formula>NOT(ISERROR(SEARCH("Yes",B31)))</formula>
    </cfRule>
    <cfRule type="containsText" dxfId="57" priority="20" operator="containsText" text="No">
      <formula>NOT(ISERROR(SEARCH("No",B31)))</formula>
    </cfRule>
    <cfRule type="expression" dxfId="56" priority="21">
      <formula>LEN(TRIM(B31))=0</formula>
    </cfRule>
  </conditionalFormatting>
  <hyperlinks>
    <hyperlink ref="E3" r:id="rId1" xr:uid="{00000000-0004-0000-0000-000000000000}"/>
  </hyperlinks>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'DATA VALIDATION'!$A$2:$A$3</xm:f>
          </x14:formula1>
          <x14:formula2>
            <xm:f>0</xm:f>
          </x14:formula2>
          <xm:sqref>B15:B16 B19:B20 B23:B24 B27:B28 B31:B32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1"/>
  <sheetViews>
    <sheetView topLeftCell="A5" zoomScale="178" zoomScaleNormal="173" workbookViewId="0">
      <selection activeCell="C14" sqref="C14"/>
    </sheetView>
  </sheetViews>
  <sheetFormatPr baseColWidth="10" defaultColWidth="8.6640625" defaultRowHeight="15" x14ac:dyDescent="0.2"/>
  <cols>
    <col min="1" max="1" width="27.1640625" customWidth="1"/>
    <col min="2" max="2" width="54.6640625" customWidth="1"/>
    <col min="3" max="3" width="30.5" customWidth="1"/>
  </cols>
  <sheetData>
    <row r="1" spans="1:8" ht="19" x14ac:dyDescent="0.25">
      <c r="A1" s="1" t="s">
        <v>42</v>
      </c>
      <c r="B1" s="2"/>
    </row>
    <row r="2" spans="1:8" ht="78.75" customHeight="1" x14ac:dyDescent="0.2">
      <c r="A2" s="47" t="s">
        <v>43</v>
      </c>
      <c r="B2" s="47"/>
    </row>
    <row r="3" spans="1:8" ht="19" x14ac:dyDescent="0.25">
      <c r="A3" s="12"/>
    </row>
    <row r="4" spans="1:8" x14ac:dyDescent="0.2">
      <c r="A4" s="60" t="s">
        <v>15</v>
      </c>
      <c r="B4" s="60"/>
    </row>
    <row r="5" spans="1:8" x14ac:dyDescent="0.2">
      <c r="A5" s="13" t="s">
        <v>44</v>
      </c>
      <c r="B5" s="7" t="s">
        <v>45</v>
      </c>
    </row>
    <row r="6" spans="1:8" x14ac:dyDescent="0.2">
      <c r="A6" s="14" t="s">
        <v>46</v>
      </c>
      <c r="B6" s="15" t="s">
        <v>45</v>
      </c>
    </row>
    <row r="7" spans="1:8" ht="18" customHeight="1" x14ac:dyDescent="0.25">
      <c r="A7" s="12"/>
      <c r="D7" s="46" t="s">
        <v>48</v>
      </c>
      <c r="E7" s="46"/>
      <c r="F7" s="46"/>
      <c r="G7" s="46"/>
      <c r="H7" s="46"/>
    </row>
    <row r="8" spans="1:8" ht="14.25" customHeight="1" x14ac:dyDescent="0.2">
      <c r="A8" s="16" t="s">
        <v>49</v>
      </c>
      <c r="B8" s="17">
        <v>1</v>
      </c>
      <c r="D8" s="46"/>
      <c r="E8" s="46"/>
      <c r="F8" s="46"/>
      <c r="G8" s="46"/>
      <c r="H8" s="46"/>
    </row>
    <row r="9" spans="1:8" ht="14.25" customHeight="1" x14ac:dyDescent="0.2">
      <c r="A9" s="16" t="s">
        <v>5</v>
      </c>
      <c r="B9" s="17" t="s">
        <v>6</v>
      </c>
      <c r="D9" s="46"/>
      <c r="E9" s="46"/>
      <c r="F9" s="46"/>
      <c r="G9" s="46"/>
      <c r="H9" s="46"/>
    </row>
    <row r="10" spans="1:8" ht="14.25" customHeight="1" x14ac:dyDescent="0.2">
      <c r="A10" s="16" t="s">
        <v>8</v>
      </c>
      <c r="B10" s="17">
        <v>1</v>
      </c>
      <c r="D10" s="46"/>
      <c r="E10" s="46"/>
      <c r="F10" s="46"/>
      <c r="G10" s="46"/>
      <c r="H10" s="46"/>
    </row>
    <row r="11" spans="1:8" ht="14.25" customHeight="1" x14ac:dyDescent="0.2">
      <c r="A11" s="16" t="s">
        <v>50</v>
      </c>
      <c r="B11" s="18">
        <v>46303</v>
      </c>
      <c r="D11" s="46"/>
      <c r="E11" s="46"/>
      <c r="F11" s="46"/>
      <c r="G11" s="46"/>
      <c r="H11" s="46"/>
    </row>
    <row r="12" spans="1:8" ht="14.25" customHeight="1" x14ac:dyDescent="0.2">
      <c r="D12" s="46"/>
      <c r="E12" s="46"/>
      <c r="F12" s="46"/>
      <c r="G12" s="46"/>
      <c r="H12" s="46"/>
    </row>
    <row r="13" spans="1:8" ht="14.25" customHeight="1" x14ac:dyDescent="0.2">
      <c r="A13" s="61" t="s">
        <v>51</v>
      </c>
      <c r="B13" s="61"/>
      <c r="D13" s="46"/>
      <c r="E13" s="46"/>
      <c r="F13" s="46"/>
      <c r="G13" s="46"/>
      <c r="H13" s="46"/>
    </row>
    <row r="14" spans="1:8" ht="65.25" customHeight="1" x14ac:dyDescent="0.2">
      <c r="A14" s="62" t="s">
        <v>230</v>
      </c>
      <c r="B14" s="62"/>
    </row>
    <row r="16" spans="1:8" x14ac:dyDescent="0.2">
      <c r="A16" s="20" t="s">
        <v>52</v>
      </c>
    </row>
    <row r="17" spans="1:2" ht="52.5" customHeight="1" x14ac:dyDescent="0.2">
      <c r="A17" s="59" t="s">
        <v>53</v>
      </c>
      <c r="B17" s="59"/>
    </row>
    <row r="19" spans="1:2" x14ac:dyDescent="0.2">
      <c r="A19" s="20" t="s">
        <v>54</v>
      </c>
    </row>
    <row r="20" spans="1:2" x14ac:dyDescent="0.2">
      <c r="A20" s="16" t="s">
        <v>55</v>
      </c>
      <c r="B20" s="17" t="s">
        <v>56</v>
      </c>
    </row>
    <row r="21" spans="1:2" x14ac:dyDescent="0.2">
      <c r="A21" s="16" t="s">
        <v>57</v>
      </c>
      <c r="B21" s="17" t="s">
        <v>58</v>
      </c>
    </row>
  </sheetData>
  <mergeCells count="6">
    <mergeCell ref="A17:B17"/>
    <mergeCell ref="A2:B2"/>
    <mergeCell ref="A4:B4"/>
    <mergeCell ref="D7:H13"/>
    <mergeCell ref="A13:B13"/>
    <mergeCell ref="A14:B14"/>
  </mergeCells>
  <conditionalFormatting sqref="B5:B6">
    <cfRule type="containsText" dxfId="55" priority="2" operator="containsText" text="Not Applicable">
      <formula>NOT(ISERROR(SEARCH("Not Applicable",B5)))</formula>
    </cfRule>
    <cfRule type="containsText" dxfId="54" priority="3" operator="containsText" text="Yes">
      <formula>NOT(ISERROR(SEARCH("Yes",B5)))</formula>
    </cfRule>
    <cfRule type="containsText" dxfId="53" priority="4" operator="containsText" text="No">
      <formula>NOT(ISERROR(SEARCH("No",B5)))</formula>
    </cfRule>
    <cfRule type="expression" dxfId="52" priority="5">
      <formula>LEN(TRIM(B5))=0</formula>
    </cfRule>
  </conditionalFormatting>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prompt="Fill This Section After Completing" xr:uid="{00000000-0002-0000-0100-000000000000}">
          <x14:formula1>
            <xm:f>'DATA VALIDATION'!$A$2:$A$3</xm:f>
          </x14:formula1>
          <x14:formula2>
            <xm:f>0</xm:f>
          </x14:formula2>
          <xm:sqref>B5:B6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75"/>
  <sheetViews>
    <sheetView topLeftCell="A26" zoomScale="125" zoomScaleNormal="173" workbookViewId="0">
      <selection activeCell="A14" sqref="A14"/>
    </sheetView>
  </sheetViews>
  <sheetFormatPr baseColWidth="10" defaultColWidth="8.6640625" defaultRowHeight="15" x14ac:dyDescent="0.2"/>
  <cols>
    <col min="1" max="1" width="74.5" customWidth="1"/>
    <col min="2" max="2" width="20.6640625" customWidth="1"/>
    <col min="3" max="3" width="20.6640625" style="21" customWidth="1"/>
    <col min="4" max="4" width="60.6640625" customWidth="1"/>
    <col min="5" max="6" width="20.6640625" customWidth="1"/>
  </cols>
  <sheetData>
    <row r="1" spans="1:4" ht="19" x14ac:dyDescent="0.25">
      <c r="A1" s="1" t="s">
        <v>59</v>
      </c>
      <c r="B1" s="1"/>
      <c r="C1" s="22"/>
      <c r="D1" s="2"/>
    </row>
    <row r="2" spans="1:4" ht="50.25" customHeight="1" x14ac:dyDescent="0.2">
      <c r="A2" s="47" t="s">
        <v>60</v>
      </c>
      <c r="B2" s="47"/>
      <c r="C2" s="47"/>
      <c r="D2" s="47"/>
    </row>
    <row r="3" spans="1:4" ht="50.25" customHeight="1" x14ac:dyDescent="0.2">
      <c r="A3" s="48" t="s">
        <v>61</v>
      </c>
      <c r="B3" s="48"/>
      <c r="C3" s="48"/>
      <c r="D3" s="48"/>
    </row>
    <row r="4" spans="1:4" ht="15" customHeight="1" x14ac:dyDescent="0.25">
      <c r="A4" s="12"/>
      <c r="B4" s="12"/>
      <c r="C4" s="23"/>
    </row>
    <row r="5" spans="1:4" x14ac:dyDescent="0.2">
      <c r="A5" s="49" t="s">
        <v>15</v>
      </c>
      <c r="B5" s="49"/>
      <c r="C5" s="49"/>
      <c r="D5" s="24"/>
    </row>
    <row r="6" spans="1:4" x14ac:dyDescent="0.2">
      <c r="A6" s="13" t="s">
        <v>44</v>
      </c>
      <c r="B6" s="50" t="s">
        <v>45</v>
      </c>
      <c r="C6" s="50"/>
      <c r="D6" s="25"/>
    </row>
    <row r="7" spans="1:4" x14ac:dyDescent="0.2">
      <c r="A7" s="14" t="s">
        <v>46</v>
      </c>
      <c r="B7" s="51" t="s">
        <v>45</v>
      </c>
      <c r="C7" s="51"/>
      <c r="D7" s="26"/>
    </row>
    <row r="8" spans="1:4" ht="15" customHeight="1" x14ac:dyDescent="0.25">
      <c r="A8" s="12"/>
      <c r="B8" s="23"/>
      <c r="C8" s="23"/>
    </row>
    <row r="9" spans="1:4" x14ac:dyDescent="0.2">
      <c r="B9" s="27" t="s">
        <v>62</v>
      </c>
      <c r="C9" s="27" t="s">
        <v>63</v>
      </c>
      <c r="D9" s="27" t="s">
        <v>64</v>
      </c>
    </row>
    <row r="10" spans="1:4" x14ac:dyDescent="0.2">
      <c r="A10" s="20" t="s">
        <v>65</v>
      </c>
      <c r="B10" s="27"/>
      <c r="C10" s="27"/>
      <c r="D10" s="27"/>
    </row>
    <row r="11" spans="1:4" x14ac:dyDescent="0.2">
      <c r="A11" t="s">
        <v>66</v>
      </c>
      <c r="B11" s="28" t="s">
        <v>45</v>
      </c>
      <c r="C11" s="28" t="s">
        <v>45</v>
      </c>
      <c r="D11" s="29"/>
    </row>
    <row r="12" spans="1:4" x14ac:dyDescent="0.2">
      <c r="B12" s="27"/>
      <c r="C12" s="27"/>
      <c r="D12" s="27"/>
    </row>
    <row r="13" spans="1:4" x14ac:dyDescent="0.2">
      <c r="A13" s="20" t="s">
        <v>67</v>
      </c>
      <c r="B13" s="27"/>
      <c r="C13" s="27"/>
      <c r="D13" s="27"/>
    </row>
    <row r="14" spans="1:4" x14ac:dyDescent="0.2">
      <c r="A14" s="30" t="s">
        <v>68</v>
      </c>
      <c r="B14" s="28" t="s">
        <v>45</v>
      </c>
      <c r="C14" s="28" t="s">
        <v>45</v>
      </c>
      <c r="D14" s="29"/>
    </row>
    <row r="15" spans="1:4" x14ac:dyDescent="0.2">
      <c r="B15" s="21"/>
    </row>
    <row r="16" spans="1:4" x14ac:dyDescent="0.2">
      <c r="A16" s="19" t="s">
        <v>69</v>
      </c>
      <c r="B16" s="27"/>
      <c r="C16" s="27"/>
    </row>
    <row r="17" spans="1:4" x14ac:dyDescent="0.2">
      <c r="A17" s="30" t="s">
        <v>70</v>
      </c>
      <c r="B17" s="28" t="s">
        <v>45</v>
      </c>
      <c r="C17" s="28" t="s">
        <v>45</v>
      </c>
      <c r="D17" s="29" t="s">
        <v>231</v>
      </c>
    </row>
    <row r="18" spans="1:4" x14ac:dyDescent="0.2">
      <c r="A18" s="30" t="s">
        <v>71</v>
      </c>
      <c r="B18" s="28" t="s">
        <v>45</v>
      </c>
      <c r="C18" s="28" t="s">
        <v>45</v>
      </c>
      <c r="D18" s="29" t="s">
        <v>231</v>
      </c>
    </row>
    <row r="19" spans="1:4" x14ac:dyDescent="0.2">
      <c r="A19" s="30" t="s">
        <v>72</v>
      </c>
      <c r="B19" s="28" t="s">
        <v>45</v>
      </c>
      <c r="C19" s="28" t="s">
        <v>45</v>
      </c>
      <c r="D19" s="29" t="s">
        <v>232</v>
      </c>
    </row>
    <row r="20" spans="1:4" x14ac:dyDescent="0.2">
      <c r="A20" s="30" t="s">
        <v>73</v>
      </c>
      <c r="B20" s="28" t="s">
        <v>45</v>
      </c>
      <c r="C20" s="28" t="s">
        <v>45</v>
      </c>
      <c r="D20" s="29" t="s">
        <v>233</v>
      </c>
    </row>
    <row r="21" spans="1:4" x14ac:dyDescent="0.2">
      <c r="A21" s="30" t="s">
        <v>74</v>
      </c>
      <c r="B21" s="28" t="s">
        <v>45</v>
      </c>
      <c r="C21" s="28" t="s">
        <v>45</v>
      </c>
      <c r="D21" s="29"/>
    </row>
    <row r="22" spans="1:4" x14ac:dyDescent="0.2">
      <c r="A22" s="30" t="s">
        <v>75</v>
      </c>
      <c r="B22" s="28" t="s">
        <v>45</v>
      </c>
      <c r="C22" s="28" t="s">
        <v>45</v>
      </c>
      <c r="D22" s="29"/>
    </row>
    <row r="23" spans="1:4" x14ac:dyDescent="0.2">
      <c r="A23" s="30" t="s">
        <v>76</v>
      </c>
      <c r="B23" s="28" t="s">
        <v>45</v>
      </c>
      <c r="C23" s="28" t="s">
        <v>45</v>
      </c>
      <c r="D23" s="29" t="s">
        <v>234</v>
      </c>
    </row>
    <row r="24" spans="1:4" x14ac:dyDescent="0.2">
      <c r="A24" s="30"/>
      <c r="B24" s="30"/>
      <c r="C24" s="30"/>
      <c r="D24" s="30"/>
    </row>
    <row r="25" spans="1:4" x14ac:dyDescent="0.2">
      <c r="A25" s="30"/>
    </row>
    <row r="26" spans="1:4" x14ac:dyDescent="0.2">
      <c r="A26" s="19" t="s">
        <v>77</v>
      </c>
      <c r="B26" s="27"/>
      <c r="C26" s="27"/>
    </row>
    <row r="27" spans="1:4" x14ac:dyDescent="0.2">
      <c r="A27" s="30" t="s">
        <v>78</v>
      </c>
      <c r="B27" s="28" t="s">
        <v>45</v>
      </c>
      <c r="C27" s="28" t="s">
        <v>45</v>
      </c>
      <c r="D27" s="29" t="s">
        <v>235</v>
      </c>
    </row>
    <row r="28" spans="1:4" x14ac:dyDescent="0.2">
      <c r="B28" s="21"/>
    </row>
    <row r="29" spans="1:4" x14ac:dyDescent="0.2">
      <c r="A29" s="19" t="s">
        <v>79</v>
      </c>
      <c r="B29" s="31"/>
      <c r="C29" s="31"/>
    </row>
    <row r="30" spans="1:4" x14ac:dyDescent="0.2">
      <c r="A30" s="30" t="s">
        <v>80</v>
      </c>
      <c r="B30" s="28" t="s">
        <v>45</v>
      </c>
      <c r="C30" s="28" t="s">
        <v>45</v>
      </c>
      <c r="D30" s="29"/>
    </row>
    <row r="31" spans="1:4" x14ac:dyDescent="0.2">
      <c r="A31" s="30" t="s">
        <v>81</v>
      </c>
      <c r="B31" s="28" t="s">
        <v>45</v>
      </c>
      <c r="C31" s="28" t="s">
        <v>45</v>
      </c>
      <c r="D31" s="29"/>
    </row>
    <row r="32" spans="1:4" x14ac:dyDescent="0.2">
      <c r="B32" s="21"/>
    </row>
    <row r="33" spans="1:4" x14ac:dyDescent="0.2">
      <c r="A33" s="19" t="s">
        <v>82</v>
      </c>
      <c r="B33" s="31"/>
      <c r="C33" s="31"/>
    </row>
    <row r="34" spans="1:4" x14ac:dyDescent="0.2">
      <c r="A34" s="30" t="s">
        <v>83</v>
      </c>
      <c r="B34" s="28" t="s">
        <v>84</v>
      </c>
      <c r="C34" s="28" t="s">
        <v>84</v>
      </c>
      <c r="D34" s="29"/>
    </row>
    <row r="35" spans="1:4" x14ac:dyDescent="0.2">
      <c r="A35" s="30" t="s">
        <v>85</v>
      </c>
      <c r="B35" s="28" t="s">
        <v>84</v>
      </c>
      <c r="C35" s="28" t="s">
        <v>84</v>
      </c>
      <c r="D35" s="29"/>
    </row>
    <row r="36" spans="1:4" x14ac:dyDescent="0.2">
      <c r="A36" s="30" t="s">
        <v>86</v>
      </c>
      <c r="B36" s="28" t="s">
        <v>84</v>
      </c>
      <c r="C36" s="28" t="s">
        <v>84</v>
      </c>
      <c r="D36" s="29"/>
    </row>
    <row r="37" spans="1:4" x14ac:dyDescent="0.2">
      <c r="A37" s="30" t="s">
        <v>87</v>
      </c>
      <c r="B37" s="28" t="s">
        <v>88</v>
      </c>
      <c r="C37" s="28" t="s">
        <v>88</v>
      </c>
      <c r="D37" s="29"/>
    </row>
    <row r="38" spans="1:4" x14ac:dyDescent="0.2">
      <c r="A38" s="30" t="s">
        <v>89</v>
      </c>
      <c r="B38" s="28" t="s">
        <v>84</v>
      </c>
      <c r="C38" s="28" t="s">
        <v>84</v>
      </c>
      <c r="D38" s="29"/>
    </row>
    <row r="39" spans="1:4" x14ac:dyDescent="0.2">
      <c r="A39" s="30" t="s">
        <v>90</v>
      </c>
      <c r="B39" s="28" t="s">
        <v>84</v>
      </c>
      <c r="C39" s="28" t="s">
        <v>84</v>
      </c>
      <c r="D39" s="29"/>
    </row>
    <row r="40" spans="1:4" x14ac:dyDescent="0.2">
      <c r="B40" s="21"/>
    </row>
    <row r="41" spans="1:4" x14ac:dyDescent="0.2">
      <c r="A41" s="19" t="s">
        <v>91</v>
      </c>
      <c r="B41" s="21"/>
    </row>
    <row r="42" spans="1:4" x14ac:dyDescent="0.2">
      <c r="A42" s="30" t="s">
        <v>92</v>
      </c>
      <c r="B42" s="28" t="s">
        <v>45</v>
      </c>
      <c r="C42" s="28" t="s">
        <v>45</v>
      </c>
      <c r="D42" s="29"/>
    </row>
    <row r="43" spans="1:4" ht="32" x14ac:dyDescent="0.2">
      <c r="A43" s="32" t="s">
        <v>93</v>
      </c>
      <c r="B43" s="33" t="s">
        <v>45</v>
      </c>
      <c r="C43" s="33" t="s">
        <v>45</v>
      </c>
      <c r="D43" s="34"/>
    </row>
    <row r="44" spans="1:4" x14ac:dyDescent="0.2">
      <c r="B44" s="21"/>
    </row>
    <row r="46" spans="1:4" ht="14.25" customHeight="1" x14ac:dyDescent="0.2">
      <c r="A46" s="46" t="s">
        <v>94</v>
      </c>
      <c r="B46" s="46"/>
      <c r="C46" s="46"/>
      <c r="D46" s="46"/>
    </row>
    <row r="47" spans="1:4" ht="14.25" customHeight="1" x14ac:dyDescent="0.2">
      <c r="A47" s="46"/>
      <c r="B47" s="46"/>
      <c r="C47" s="46"/>
      <c r="D47" s="46"/>
    </row>
    <row r="48" spans="1:4" ht="14.25" customHeight="1" x14ac:dyDescent="0.2">
      <c r="A48" s="46"/>
      <c r="B48" s="46"/>
      <c r="C48" s="46"/>
      <c r="D48" s="46"/>
    </row>
    <row r="49" spans="1:4" ht="15" customHeight="1" x14ac:dyDescent="0.2">
      <c r="A49" s="46"/>
      <c r="B49" s="46"/>
      <c r="C49" s="46"/>
      <c r="D49" s="46"/>
    </row>
    <row r="75" spans="5:5" x14ac:dyDescent="0.2">
      <c r="E75" t="s">
        <v>95</v>
      </c>
    </row>
  </sheetData>
  <mergeCells count="6">
    <mergeCell ref="A46:D49"/>
    <mergeCell ref="A2:D2"/>
    <mergeCell ref="A3:D3"/>
    <mergeCell ref="A5:C5"/>
    <mergeCell ref="B6:C6"/>
    <mergeCell ref="B7:C7"/>
  </mergeCells>
  <conditionalFormatting sqref="B6:B7 B17:C23 B34:C39 B42:C43">
    <cfRule type="containsText" dxfId="51" priority="18" operator="containsText" text="Not Applicable">
      <formula>NOT(ISERROR(SEARCH("Not Applicable",B6)))</formula>
    </cfRule>
    <cfRule type="containsText" dxfId="50" priority="19" operator="containsText" text="Yes">
      <formula>NOT(ISERROR(SEARCH("Yes",B6)))</formula>
    </cfRule>
    <cfRule type="containsText" dxfId="49" priority="20" operator="containsText" text="No">
      <formula>NOT(ISERROR(SEARCH("No",B6)))</formula>
    </cfRule>
    <cfRule type="expression" dxfId="48" priority="21">
      <formula>LEN(TRIM(B6))=0</formula>
    </cfRule>
  </conditionalFormatting>
  <conditionalFormatting sqref="B11:C11">
    <cfRule type="containsText" dxfId="47" priority="2" operator="containsText" text="Not Applicable">
      <formula>NOT(ISERROR(SEARCH("Not Applicable",B11)))</formula>
    </cfRule>
    <cfRule type="containsText" dxfId="46" priority="3" operator="containsText" text="Yes">
      <formula>NOT(ISERROR(SEARCH("Yes",B11)))</formula>
    </cfRule>
    <cfRule type="containsText" dxfId="45" priority="4" operator="containsText" text="No">
      <formula>NOT(ISERROR(SEARCH("No",B11)))</formula>
    </cfRule>
    <cfRule type="expression" dxfId="44" priority="5">
      <formula>LEN(TRIM(B11))=0</formula>
    </cfRule>
  </conditionalFormatting>
  <conditionalFormatting sqref="B14:C14">
    <cfRule type="containsText" dxfId="43" priority="6" operator="containsText" text="Not Applicable">
      <formula>NOT(ISERROR(SEARCH("Not Applicable",B14)))</formula>
    </cfRule>
    <cfRule type="containsText" dxfId="42" priority="7" operator="containsText" text="Yes">
      <formula>NOT(ISERROR(SEARCH("Yes",B14)))</formula>
    </cfRule>
    <cfRule type="containsText" dxfId="41" priority="8" operator="containsText" text="No">
      <formula>NOT(ISERROR(SEARCH("No",B14)))</formula>
    </cfRule>
    <cfRule type="expression" dxfId="40" priority="9">
      <formula>LEN(TRIM(B14))=0</formula>
    </cfRule>
  </conditionalFormatting>
  <conditionalFormatting sqref="B27:C27">
    <cfRule type="containsText" dxfId="39" priority="10" operator="containsText" text="Not Applicable">
      <formula>NOT(ISERROR(SEARCH("Not Applicable",B27)))</formula>
    </cfRule>
    <cfRule type="containsText" dxfId="38" priority="11" operator="containsText" text="Yes">
      <formula>NOT(ISERROR(SEARCH("Yes",B27)))</formula>
    </cfRule>
    <cfRule type="containsText" dxfId="37" priority="12" operator="containsText" text="No">
      <formula>NOT(ISERROR(SEARCH("No",B27)))</formula>
    </cfRule>
    <cfRule type="expression" dxfId="36" priority="13">
      <formula>LEN(TRIM(B27))=0</formula>
    </cfRule>
  </conditionalFormatting>
  <conditionalFormatting sqref="B30:C31">
    <cfRule type="containsText" dxfId="35" priority="14" operator="containsText" text="Not Applicable">
      <formula>NOT(ISERROR(SEARCH("Not Applicable",B30)))</formula>
    </cfRule>
    <cfRule type="containsText" dxfId="34" priority="15" operator="containsText" text="Yes">
      <formula>NOT(ISERROR(SEARCH("Yes",B30)))</formula>
    </cfRule>
    <cfRule type="containsText" dxfId="33" priority="16" operator="containsText" text="No">
      <formula>NOT(ISERROR(SEARCH("No",B30)))</formula>
    </cfRule>
    <cfRule type="expression" dxfId="32" priority="17">
      <formula>LEN(TRIM(B30))=0</formula>
    </cfRule>
  </conditionalFormatting>
  <pageMargins left="0.7" right="0.7" top="0.75" bottom="0.75" header="0.511811023622047" footer="0.511811023622047"/>
  <pageSetup orientation="portrait" horizontalDpi="300" verticalDpi="300"/>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'DATA VALIDATION'!$A$2:$A$3</xm:f>
          </x14:formula1>
          <x14:formula2>
            <xm:f>0</xm:f>
          </x14:formula2>
          <xm:sqref>B14:C14 B24:C24</xm:sqref>
        </x14:dataValidation>
        <x14:dataValidation type="list" allowBlank="1" showInputMessage="1" showErrorMessage="1" prompt="Fill This Section After Completing" xr:uid="{00000000-0002-0000-0200-000001000000}">
          <x14:formula1>
            <xm:f>'DATA VALIDATION'!$A$2:$A$3</xm:f>
          </x14:formula1>
          <x14:formula2>
            <xm:f>0</xm:f>
          </x14:formula2>
          <xm:sqref>B6:B7</xm:sqref>
        </x14:dataValidation>
        <x14:dataValidation type="list" allowBlank="1" showInputMessage="1" showErrorMessage="1" xr:uid="{00000000-0002-0000-0200-000002000000}">
          <x14:formula1>
            <xm:f>'DATA VALIDATION'!$B$2:$B$4</xm:f>
          </x14:formula1>
          <x14:formula2>
            <xm:f>0</xm:f>
          </x14:formula2>
          <xm:sqref>B11:C11 B17:C23 B27:C27 B30:C31 B42:C43</xm:sqref>
        </x14:dataValidation>
        <x14:dataValidation type="list" allowBlank="1" showInputMessage="1" showErrorMessage="1" xr:uid="{00000000-0002-0000-0200-000003000000}">
          <x14:formula1>
            <xm:f>'DATA VALIDATION'!$I$2:$I$4</xm:f>
          </x14:formula1>
          <x14:formula2>
            <xm:f>0</xm:f>
          </x14:formula2>
          <xm:sqref>B34:C39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58"/>
  <sheetViews>
    <sheetView topLeftCell="A6" zoomScale="134" zoomScaleNormal="173" workbookViewId="0">
      <selection activeCell="A14" sqref="A14"/>
    </sheetView>
  </sheetViews>
  <sheetFormatPr baseColWidth="10" defaultColWidth="8.6640625" defaultRowHeight="15" x14ac:dyDescent="0.2"/>
  <cols>
    <col min="1" max="1" width="72.5" customWidth="1"/>
    <col min="2" max="2" width="19.1640625" customWidth="1"/>
    <col min="3" max="3" width="20.6640625" style="21" customWidth="1"/>
    <col min="4" max="4" width="60.6640625" customWidth="1"/>
    <col min="5" max="6" width="20.6640625" customWidth="1"/>
  </cols>
  <sheetData>
    <row r="1" spans="1:4" ht="19" x14ac:dyDescent="0.25">
      <c r="A1" s="1" t="s">
        <v>96</v>
      </c>
      <c r="B1" s="1"/>
      <c r="C1" s="22"/>
      <c r="D1" s="2"/>
    </row>
    <row r="2" spans="1:4" ht="51" customHeight="1" x14ac:dyDescent="0.2">
      <c r="A2" s="47" t="s">
        <v>97</v>
      </c>
      <c r="B2" s="47"/>
      <c r="C2" s="47"/>
      <c r="D2" s="47"/>
    </row>
    <row r="3" spans="1:4" ht="51" customHeight="1" x14ac:dyDescent="0.2">
      <c r="A3" s="48" t="s">
        <v>98</v>
      </c>
      <c r="B3" s="48"/>
      <c r="C3" s="48"/>
      <c r="D3" s="48"/>
    </row>
    <row r="4" spans="1:4" ht="19" x14ac:dyDescent="0.25">
      <c r="A4" s="12"/>
      <c r="B4" s="12"/>
      <c r="C4" s="23"/>
    </row>
    <row r="5" spans="1:4" x14ac:dyDescent="0.2">
      <c r="A5" s="49" t="s">
        <v>15</v>
      </c>
      <c r="B5" s="49"/>
      <c r="C5" s="49"/>
      <c r="D5" s="24"/>
    </row>
    <row r="6" spans="1:4" x14ac:dyDescent="0.2">
      <c r="A6" s="13" t="s">
        <v>44</v>
      </c>
      <c r="B6" s="50" t="s">
        <v>45</v>
      </c>
      <c r="C6" s="50"/>
      <c r="D6" s="35"/>
    </row>
    <row r="7" spans="1:4" x14ac:dyDescent="0.2">
      <c r="A7" s="14" t="s">
        <v>46</v>
      </c>
      <c r="B7" s="51" t="s">
        <v>45</v>
      </c>
      <c r="C7" s="51"/>
      <c r="D7" s="36"/>
    </row>
    <row r="8" spans="1:4" ht="19" x14ac:dyDescent="0.25">
      <c r="A8" s="12"/>
      <c r="B8" s="12"/>
      <c r="C8" s="23"/>
    </row>
    <row r="9" spans="1:4" x14ac:dyDescent="0.2">
      <c r="B9" s="27" t="s">
        <v>62</v>
      </c>
      <c r="C9" s="27" t="s">
        <v>63</v>
      </c>
      <c r="D9" s="27" t="s">
        <v>64</v>
      </c>
    </row>
    <row r="10" spans="1:4" x14ac:dyDescent="0.2">
      <c r="A10" s="20" t="s">
        <v>99</v>
      </c>
      <c r="B10" s="20"/>
      <c r="C10" s="27"/>
      <c r="D10" s="27"/>
    </row>
    <row r="11" spans="1:4" x14ac:dyDescent="0.2">
      <c r="A11" s="30" t="s">
        <v>100</v>
      </c>
      <c r="B11" s="28" t="s">
        <v>45</v>
      </c>
      <c r="C11" s="28" t="s">
        <v>45</v>
      </c>
      <c r="D11" s="29"/>
    </row>
    <row r="13" spans="1:4" x14ac:dyDescent="0.2">
      <c r="A13" s="20" t="s">
        <v>101</v>
      </c>
      <c r="C13" s="27"/>
      <c r="D13" s="27"/>
    </row>
    <row r="14" spans="1:4" x14ac:dyDescent="0.2">
      <c r="A14" s="37" t="s">
        <v>102</v>
      </c>
      <c r="B14" s="28" t="s">
        <v>45</v>
      </c>
      <c r="C14" s="28" t="s">
        <v>45</v>
      </c>
      <c r="D14" s="29"/>
    </row>
    <row r="15" spans="1:4" x14ac:dyDescent="0.2">
      <c r="C15" s="27"/>
      <c r="D15" s="27"/>
    </row>
    <row r="16" spans="1:4" x14ac:dyDescent="0.2">
      <c r="A16" s="20" t="s">
        <v>103</v>
      </c>
      <c r="B16" s="20"/>
      <c r="C16" s="27"/>
      <c r="D16" s="27"/>
    </row>
    <row r="17" spans="1:4" x14ac:dyDescent="0.2">
      <c r="A17" s="30" t="s">
        <v>104</v>
      </c>
      <c r="B17" s="28" t="s">
        <v>45</v>
      </c>
      <c r="C17" s="28" t="s">
        <v>45</v>
      </c>
      <c r="D17" s="29" t="s">
        <v>237</v>
      </c>
    </row>
    <row r="18" spans="1:4" x14ac:dyDescent="0.2">
      <c r="A18" s="30" t="s">
        <v>105</v>
      </c>
      <c r="B18" s="28" t="s">
        <v>45</v>
      </c>
      <c r="C18" s="28" t="s">
        <v>45</v>
      </c>
      <c r="D18" s="29"/>
    </row>
    <row r="19" spans="1:4" x14ac:dyDescent="0.2">
      <c r="A19" s="30" t="s">
        <v>106</v>
      </c>
      <c r="B19" s="28" t="s">
        <v>45</v>
      </c>
      <c r="C19" s="28" t="s">
        <v>45</v>
      </c>
      <c r="D19" s="29"/>
    </row>
    <row r="20" spans="1:4" x14ac:dyDescent="0.2">
      <c r="A20" s="30" t="s">
        <v>107</v>
      </c>
      <c r="B20" s="28" t="s">
        <v>45</v>
      </c>
      <c r="C20" s="28" t="s">
        <v>45</v>
      </c>
      <c r="D20" s="29"/>
    </row>
    <row r="21" spans="1:4" ht="26" customHeight="1" x14ac:dyDescent="0.2">
      <c r="A21" s="30" t="s">
        <v>108</v>
      </c>
      <c r="B21" s="28" t="s">
        <v>45</v>
      </c>
      <c r="C21" s="28" t="s">
        <v>45</v>
      </c>
      <c r="D21" s="29" t="s">
        <v>238</v>
      </c>
    </row>
    <row r="23" spans="1:4" x14ac:dyDescent="0.2">
      <c r="A23" s="19" t="s">
        <v>109</v>
      </c>
      <c r="B23" s="19"/>
      <c r="C23" s="27"/>
    </row>
    <row r="24" spans="1:4" x14ac:dyDescent="0.2">
      <c r="A24" s="30" t="s">
        <v>110</v>
      </c>
      <c r="B24" s="28" t="s">
        <v>45</v>
      </c>
      <c r="C24" s="28" t="s">
        <v>45</v>
      </c>
      <c r="D24" s="29" t="s">
        <v>239</v>
      </c>
    </row>
    <row r="25" spans="1:4" x14ac:dyDescent="0.2">
      <c r="A25" s="30" t="s">
        <v>111</v>
      </c>
      <c r="B25" s="28" t="s">
        <v>45</v>
      </c>
      <c r="C25" s="28" t="s">
        <v>45</v>
      </c>
      <c r="D25" s="29"/>
    </row>
    <row r="26" spans="1:4" x14ac:dyDescent="0.2">
      <c r="A26" s="30" t="s">
        <v>112</v>
      </c>
      <c r="B26" s="28" t="s">
        <v>45</v>
      </c>
      <c r="C26" s="28" t="s">
        <v>45</v>
      </c>
      <c r="D26" s="29"/>
    </row>
    <row r="27" spans="1:4" x14ac:dyDescent="0.2">
      <c r="A27" s="30" t="s">
        <v>113</v>
      </c>
      <c r="B27" s="28" t="s">
        <v>45</v>
      </c>
      <c r="C27" s="28" t="s">
        <v>45</v>
      </c>
      <c r="D27" s="29"/>
    </row>
    <row r="28" spans="1:4" x14ac:dyDescent="0.2">
      <c r="A28" s="30" t="s">
        <v>114</v>
      </c>
      <c r="B28" s="28" t="s">
        <v>45</v>
      </c>
      <c r="C28" s="28" t="s">
        <v>45</v>
      </c>
      <c r="D28" s="29"/>
    </row>
    <row r="29" spans="1:4" x14ac:dyDescent="0.2">
      <c r="B29" t="s">
        <v>115</v>
      </c>
    </row>
    <row r="30" spans="1:4" x14ac:dyDescent="0.2">
      <c r="A30" s="19" t="s">
        <v>116</v>
      </c>
      <c r="B30" s="19"/>
      <c r="C30" s="31"/>
    </row>
    <row r="31" spans="1:4" x14ac:dyDescent="0.2">
      <c r="A31" s="30" t="s">
        <v>117</v>
      </c>
      <c r="B31" s="28" t="s">
        <v>45</v>
      </c>
      <c r="C31" s="28" t="s">
        <v>45</v>
      </c>
      <c r="D31" s="29" t="s">
        <v>236</v>
      </c>
    </row>
    <row r="32" spans="1:4" x14ac:dyDescent="0.2">
      <c r="A32" s="30" t="s">
        <v>118</v>
      </c>
      <c r="B32" s="28" t="s">
        <v>45</v>
      </c>
      <c r="C32" s="28" t="s">
        <v>45</v>
      </c>
      <c r="D32" s="29"/>
    </row>
    <row r="33" spans="1:4" x14ac:dyDescent="0.2">
      <c r="A33" s="30" t="s">
        <v>119</v>
      </c>
      <c r="B33" s="28" t="s">
        <v>45</v>
      </c>
      <c r="C33" s="28" t="s">
        <v>45</v>
      </c>
      <c r="D33" s="29" t="s">
        <v>120</v>
      </c>
    </row>
    <row r="35" spans="1:4" x14ac:dyDescent="0.2">
      <c r="A35" s="19" t="s">
        <v>121</v>
      </c>
      <c r="B35" s="31"/>
      <c r="C35" s="31"/>
    </row>
    <row r="36" spans="1:4" x14ac:dyDescent="0.2">
      <c r="A36" s="30" t="s">
        <v>122</v>
      </c>
      <c r="B36" s="28" t="s">
        <v>45</v>
      </c>
      <c r="C36" s="28" t="s">
        <v>45</v>
      </c>
      <c r="D36" s="29"/>
    </row>
    <row r="37" spans="1:4" x14ac:dyDescent="0.2">
      <c r="A37" s="30" t="s">
        <v>123</v>
      </c>
      <c r="B37" s="28" t="s">
        <v>45</v>
      </c>
      <c r="C37" s="28" t="s">
        <v>45</v>
      </c>
      <c r="D37" s="29"/>
    </row>
    <row r="38" spans="1:4" x14ac:dyDescent="0.2">
      <c r="A38" s="30" t="s">
        <v>124</v>
      </c>
      <c r="B38" s="28" t="s">
        <v>45</v>
      </c>
      <c r="C38" s="28" t="s">
        <v>45</v>
      </c>
      <c r="D38" s="29"/>
    </row>
    <row r="39" spans="1:4" x14ac:dyDescent="0.2">
      <c r="A39" s="30" t="s">
        <v>125</v>
      </c>
      <c r="B39" s="28" t="s">
        <v>45</v>
      </c>
      <c r="C39" s="28" t="s">
        <v>45</v>
      </c>
      <c r="D39" s="29"/>
    </row>
    <row r="42" spans="1:4" ht="14.25" customHeight="1" x14ac:dyDescent="0.2">
      <c r="B42" s="46" t="s">
        <v>126</v>
      </c>
      <c r="C42" s="46"/>
      <c r="D42" s="46"/>
    </row>
    <row r="43" spans="1:4" x14ac:dyDescent="0.2">
      <c r="B43" s="46"/>
      <c r="C43" s="46"/>
      <c r="D43" s="46"/>
    </row>
    <row r="44" spans="1:4" x14ac:dyDescent="0.2">
      <c r="B44" s="46"/>
      <c r="C44" s="46"/>
      <c r="D44" s="46"/>
    </row>
    <row r="45" spans="1:4" x14ac:dyDescent="0.2">
      <c r="B45" s="46"/>
      <c r="C45" s="46"/>
      <c r="D45" s="46"/>
    </row>
    <row r="58" spans="6:6" x14ac:dyDescent="0.2">
      <c r="F58" t="s">
        <v>127</v>
      </c>
    </row>
  </sheetData>
  <mergeCells count="6">
    <mergeCell ref="B42:D45"/>
    <mergeCell ref="A2:D2"/>
    <mergeCell ref="A3:D3"/>
    <mergeCell ref="A5:C5"/>
    <mergeCell ref="B6:C6"/>
    <mergeCell ref="B7:C7"/>
  </mergeCells>
  <conditionalFormatting sqref="B6:B7 B11:C11 B14:C14 B17:C21">
    <cfRule type="containsText" dxfId="31" priority="14" operator="containsText" text="Not Applicable">
      <formula>NOT(ISERROR(SEARCH("Not Applicable",B6)))</formula>
    </cfRule>
    <cfRule type="containsText" dxfId="30" priority="15" operator="containsText" text="Yes">
      <formula>NOT(ISERROR(SEARCH("Yes",B6)))</formula>
    </cfRule>
    <cfRule type="containsText" dxfId="29" priority="16" operator="containsText" text="No">
      <formula>NOT(ISERROR(SEARCH("No",B6)))</formula>
    </cfRule>
    <cfRule type="expression" dxfId="28" priority="17">
      <formula>LEN(TRIM(B6))=0</formula>
    </cfRule>
  </conditionalFormatting>
  <conditionalFormatting sqref="B24:C28">
    <cfRule type="containsText" dxfId="27" priority="10" operator="containsText" text="Not Applicable">
      <formula>NOT(ISERROR(SEARCH("Not Applicable",B24)))</formula>
    </cfRule>
    <cfRule type="containsText" dxfId="26" priority="11" operator="containsText" text="Yes">
      <formula>NOT(ISERROR(SEARCH("Yes",B24)))</formula>
    </cfRule>
    <cfRule type="containsText" dxfId="25" priority="12" operator="containsText" text="No">
      <formula>NOT(ISERROR(SEARCH("No",B24)))</formula>
    </cfRule>
    <cfRule type="expression" dxfId="24" priority="13">
      <formula>LEN(TRIM(B24))=0</formula>
    </cfRule>
  </conditionalFormatting>
  <conditionalFormatting sqref="B31:C33">
    <cfRule type="containsText" dxfId="23" priority="6" operator="containsText" text="Not Applicable">
      <formula>NOT(ISERROR(SEARCH("Not Applicable",B31)))</formula>
    </cfRule>
    <cfRule type="containsText" dxfId="22" priority="7" operator="containsText" text="Yes">
      <formula>NOT(ISERROR(SEARCH("Yes",B31)))</formula>
    </cfRule>
    <cfRule type="containsText" dxfId="21" priority="8" operator="containsText" text="No">
      <formula>NOT(ISERROR(SEARCH("No",B31)))</formula>
    </cfRule>
    <cfRule type="expression" dxfId="20" priority="9">
      <formula>LEN(TRIM(B31))=0</formula>
    </cfRule>
  </conditionalFormatting>
  <conditionalFormatting sqref="B36:C39">
    <cfRule type="containsText" dxfId="19" priority="2" operator="containsText" text="Not Applicable">
      <formula>NOT(ISERROR(SEARCH("Not Applicable",B36)))</formula>
    </cfRule>
    <cfRule type="containsText" dxfId="18" priority="3" operator="containsText" text="Yes">
      <formula>NOT(ISERROR(SEARCH("Yes",B36)))</formula>
    </cfRule>
    <cfRule type="containsText" dxfId="17" priority="4" operator="containsText" text="No">
      <formula>NOT(ISERROR(SEARCH("No",B36)))</formula>
    </cfRule>
    <cfRule type="expression" dxfId="16" priority="5">
      <formula>LEN(TRIM(B36))=0</formula>
    </cfRule>
  </conditionalFormatting>
  <pageMargins left="0.7" right="0.7" top="0.75" bottom="0.75" header="0.511811023622047" footer="0.511811023622047"/>
  <pageSetup orientation="portrait" horizontalDpi="300" verticalDpi="300"/>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'DATA VALIDATION'!$B$2:$B$4</xm:f>
          </x14:formula1>
          <x14:formula2>
            <xm:f>0</xm:f>
          </x14:formula2>
          <xm:sqref>B17:C21 B24:C28 B31:C33 B36:C39</xm:sqref>
        </x14:dataValidation>
        <x14:dataValidation type="list" allowBlank="1" showInputMessage="1" showErrorMessage="1" prompt="Fill This Section After Completing" xr:uid="{00000000-0002-0000-0300-000001000000}">
          <x14:formula1>
            <xm:f>'DATA VALIDATION'!$A$2:$A$3</xm:f>
          </x14:formula1>
          <x14:formula2>
            <xm:f>0</xm:f>
          </x14:formula2>
          <xm:sqref>B6:B7</xm:sqref>
        </x14:dataValidation>
        <x14:dataValidation type="list" allowBlank="1" showInputMessage="1" showErrorMessage="1" xr:uid="{00000000-0002-0000-0300-000002000000}">
          <x14:formula1>
            <xm:f>'DATA VALIDATION'!$A$2:$A$3</xm:f>
          </x14:formula1>
          <x14:formula2>
            <xm:f>0</xm:f>
          </x14:formula2>
          <xm:sqref>B11:C11 B14:C14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7"/>
  <sheetViews>
    <sheetView tabSelected="1" topLeftCell="A2" zoomScale="173" zoomScaleNormal="173" workbookViewId="0">
      <selection activeCell="B24" sqref="B24"/>
    </sheetView>
  </sheetViews>
  <sheetFormatPr baseColWidth="10" defaultColWidth="8.6640625" defaultRowHeight="15" x14ac:dyDescent="0.2"/>
  <cols>
    <col min="1" max="1" width="67.33203125" customWidth="1"/>
    <col min="2" max="2" width="20.6640625" customWidth="1"/>
    <col min="3" max="3" width="20.6640625" style="21" customWidth="1"/>
    <col min="4" max="4" width="60.6640625" customWidth="1"/>
    <col min="5" max="6" width="20.6640625" customWidth="1"/>
  </cols>
  <sheetData>
    <row r="1" spans="1:4" ht="19" x14ac:dyDescent="0.25">
      <c r="A1" s="1" t="s">
        <v>128</v>
      </c>
      <c r="B1" s="1"/>
      <c r="C1" s="22"/>
      <c r="D1" s="2"/>
    </row>
    <row r="2" spans="1:4" ht="51" customHeight="1" x14ac:dyDescent="0.2">
      <c r="A2" s="47" t="s">
        <v>129</v>
      </c>
      <c r="B2" s="47"/>
      <c r="C2" s="47"/>
      <c r="D2" s="47"/>
    </row>
    <row r="3" spans="1:4" ht="19" x14ac:dyDescent="0.25">
      <c r="A3" s="12"/>
      <c r="B3" s="12"/>
      <c r="C3" s="23"/>
    </row>
    <row r="4" spans="1:4" x14ac:dyDescent="0.2">
      <c r="A4" s="49" t="s">
        <v>15</v>
      </c>
      <c r="B4" s="49"/>
      <c r="C4" s="49"/>
      <c r="D4" s="24"/>
    </row>
    <row r="5" spans="1:4" x14ac:dyDescent="0.2">
      <c r="A5" s="13" t="s">
        <v>44</v>
      </c>
      <c r="B5" s="50" t="s">
        <v>47</v>
      </c>
      <c r="C5" s="50"/>
      <c r="D5" s="35"/>
    </row>
    <row r="6" spans="1:4" x14ac:dyDescent="0.2">
      <c r="A6" s="14" t="s">
        <v>46</v>
      </c>
      <c r="B6" s="51" t="s">
        <v>47</v>
      </c>
      <c r="C6" s="51"/>
      <c r="D6" s="36"/>
    </row>
    <row r="7" spans="1:4" ht="19" x14ac:dyDescent="0.25">
      <c r="A7" s="12"/>
      <c r="B7" s="23"/>
      <c r="C7" s="23"/>
    </row>
    <row r="8" spans="1:4" ht="19" x14ac:dyDescent="0.25">
      <c r="A8" s="12"/>
      <c r="B8" s="23"/>
      <c r="C8" s="23"/>
    </row>
    <row r="9" spans="1:4" x14ac:dyDescent="0.2">
      <c r="B9" s="27" t="s">
        <v>62</v>
      </c>
      <c r="C9" s="27" t="s">
        <v>63</v>
      </c>
      <c r="D9" s="27" t="s">
        <v>64</v>
      </c>
    </row>
    <row r="10" spans="1:4" x14ac:dyDescent="0.2">
      <c r="A10" s="20" t="s">
        <v>130</v>
      </c>
      <c r="B10" s="27"/>
      <c r="C10" s="27"/>
      <c r="D10" s="27"/>
    </row>
    <row r="11" spans="1:4" x14ac:dyDescent="0.2">
      <c r="A11" s="30" t="s">
        <v>131</v>
      </c>
      <c r="B11" s="28" t="s">
        <v>45</v>
      </c>
      <c r="C11" s="28"/>
      <c r="D11" s="38" t="s">
        <v>229</v>
      </c>
    </row>
    <row r="12" spans="1:4" x14ac:dyDescent="0.2">
      <c r="A12" s="30" t="s">
        <v>132</v>
      </c>
      <c r="B12" s="28" t="s">
        <v>45</v>
      </c>
      <c r="C12" s="28"/>
      <c r="D12" s="38"/>
    </row>
    <row r="13" spans="1:4" x14ac:dyDescent="0.2">
      <c r="A13" s="30" t="s">
        <v>133</v>
      </c>
      <c r="B13" s="28" t="s">
        <v>45</v>
      </c>
      <c r="C13" s="28"/>
      <c r="D13" s="38"/>
    </row>
    <row r="14" spans="1:4" x14ac:dyDescent="0.2">
      <c r="A14" s="30" t="s">
        <v>134</v>
      </c>
      <c r="B14" s="28" t="s">
        <v>45</v>
      </c>
      <c r="C14" s="28"/>
      <c r="D14" s="38"/>
    </row>
    <row r="15" spans="1:4" x14ac:dyDescent="0.2">
      <c r="B15" s="21"/>
    </row>
    <row r="16" spans="1:4" x14ac:dyDescent="0.2">
      <c r="A16" s="19" t="s">
        <v>135</v>
      </c>
      <c r="B16" s="27"/>
      <c r="C16" s="27"/>
    </row>
    <row r="17" spans="1:4" x14ac:dyDescent="0.2">
      <c r="A17" s="30" t="s">
        <v>136</v>
      </c>
      <c r="B17" s="28"/>
      <c r="C17" s="28"/>
      <c r="D17" s="38"/>
    </row>
    <row r="18" spans="1:4" x14ac:dyDescent="0.2">
      <c r="A18" s="30" t="s">
        <v>137</v>
      </c>
      <c r="B18" s="28"/>
      <c r="C18" s="28"/>
      <c r="D18" s="38"/>
    </row>
    <row r="20" spans="1:4" x14ac:dyDescent="0.2">
      <c r="A20" s="20" t="s">
        <v>138</v>
      </c>
    </row>
    <row r="21" spans="1:4" x14ac:dyDescent="0.2">
      <c r="A21" s="30" t="s">
        <v>139</v>
      </c>
      <c r="B21" s="28"/>
      <c r="C21" s="28"/>
      <c r="D21" s="38"/>
    </row>
    <row r="22" spans="1:4" x14ac:dyDescent="0.2">
      <c r="A22" s="30" t="s">
        <v>140</v>
      </c>
      <c r="B22" s="28" t="s">
        <v>45</v>
      </c>
      <c r="C22" s="28"/>
      <c r="D22" s="38"/>
    </row>
    <row r="25" spans="1:4" ht="14.25" customHeight="1" x14ac:dyDescent="0.2"/>
    <row r="26" spans="1:4" ht="14.25" customHeight="1" x14ac:dyDescent="0.2"/>
    <row r="27" spans="1:4" x14ac:dyDescent="0.2">
      <c r="B27" t="s">
        <v>115</v>
      </c>
    </row>
  </sheetData>
  <mergeCells count="4">
    <mergeCell ref="A2:D2"/>
    <mergeCell ref="A4:C4"/>
    <mergeCell ref="B5:C5"/>
    <mergeCell ref="B6:C6"/>
  </mergeCells>
  <conditionalFormatting sqref="B5:B6 B11:C14 B21:C22">
    <cfRule type="containsText" dxfId="15" priority="2" operator="containsText" text="Not Applicable">
      <formula>NOT(ISERROR(SEARCH("Not Applicable",B5)))</formula>
    </cfRule>
    <cfRule type="containsText" dxfId="14" priority="3" operator="containsText" text="Yes">
      <formula>NOT(ISERROR(SEARCH("Yes",B5)))</formula>
    </cfRule>
    <cfRule type="containsText" dxfId="13" priority="4" operator="containsText" text="No">
      <formula>NOT(ISERROR(SEARCH("No",B5)))</formula>
    </cfRule>
    <cfRule type="expression" dxfId="12" priority="5">
      <formula>LEN(TRIM(B5))=0</formula>
    </cfRule>
  </conditionalFormatting>
  <conditionalFormatting sqref="B17:C18">
    <cfRule type="containsText" dxfId="11" priority="6" operator="containsText" text="Not Applicable">
      <formula>NOT(ISERROR(SEARCH("Not Applicable",B17)))</formula>
    </cfRule>
    <cfRule type="containsText" dxfId="10" priority="7" operator="containsText" text="Yes">
      <formula>NOT(ISERROR(SEARCH("Yes",B17)))</formula>
    </cfRule>
    <cfRule type="containsText" dxfId="9" priority="8" operator="containsText" text="No">
      <formula>NOT(ISERROR(SEARCH("No",B17)))</formula>
    </cfRule>
    <cfRule type="expression" dxfId="8" priority="9">
      <formula>LEN(TRIM(B17))=0</formula>
    </cfRule>
  </conditionalFormatting>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400-000000000000}">
          <x14:formula1>
            <xm:f>'DATA VALIDATION'!$B$2:$B$4</xm:f>
          </x14:formula1>
          <x14:formula2>
            <xm:f>0</xm:f>
          </x14:formula2>
          <xm:sqref>B11:C14 B17:C18 B21:C22</xm:sqref>
        </x14:dataValidation>
        <x14:dataValidation type="list" allowBlank="1" showInputMessage="1" showErrorMessage="1" prompt="Fill This Section After Completing" xr:uid="{00000000-0002-0000-0400-000001000000}">
          <x14:formula1>
            <xm:f>'DATA VALIDATION'!$A$2:$A$3</xm:f>
          </x14:formula1>
          <x14:formula2>
            <xm:f>0</xm:f>
          </x14:formula2>
          <xm:sqref>B5:B6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0"/>
  <sheetViews>
    <sheetView topLeftCell="A2" zoomScale="125" zoomScaleNormal="173" workbookViewId="0">
      <selection activeCell="F9" sqref="F9"/>
    </sheetView>
  </sheetViews>
  <sheetFormatPr baseColWidth="10" defaultColWidth="8.6640625" defaultRowHeight="15" x14ac:dyDescent="0.2"/>
  <cols>
    <col min="1" max="1" width="36.6640625" customWidth="1"/>
    <col min="2" max="2" width="27.83203125" customWidth="1"/>
    <col min="3" max="3" width="31.1640625" customWidth="1"/>
    <col min="4" max="4" width="20.6640625" customWidth="1"/>
    <col min="5" max="5" width="121.1640625" customWidth="1"/>
    <col min="6" max="6" width="13.83203125" customWidth="1"/>
    <col min="7" max="7" width="42.33203125" customWidth="1"/>
  </cols>
  <sheetData>
    <row r="1" spans="1:7" ht="19" x14ac:dyDescent="0.25">
      <c r="A1" s="1" t="s">
        <v>141</v>
      </c>
      <c r="B1" s="2"/>
      <c r="C1" s="2"/>
      <c r="D1" s="2"/>
      <c r="E1" s="2"/>
      <c r="F1" s="2"/>
      <c r="G1" s="2"/>
    </row>
    <row r="2" spans="1:7" ht="78" customHeight="1" x14ac:dyDescent="0.2">
      <c r="A2" s="63" t="s">
        <v>142</v>
      </c>
      <c r="B2" s="63"/>
      <c r="C2" s="63"/>
      <c r="D2" s="63"/>
      <c r="E2" s="63"/>
      <c r="F2" s="63"/>
      <c r="G2" s="63"/>
    </row>
    <row r="3" spans="1:7" ht="16" x14ac:dyDescent="0.2">
      <c r="A3" s="39"/>
      <c r="B3" s="40"/>
      <c r="C3" s="40"/>
      <c r="D3" s="40"/>
      <c r="E3" s="40"/>
      <c r="F3" s="40"/>
      <c r="G3" s="40"/>
    </row>
    <row r="4" spans="1:7" x14ac:dyDescent="0.2">
      <c r="A4" s="49" t="s">
        <v>15</v>
      </c>
      <c r="B4" s="49"/>
      <c r="C4" s="24"/>
    </row>
    <row r="5" spans="1:7" x14ac:dyDescent="0.2">
      <c r="A5" s="13" t="s">
        <v>44</v>
      </c>
      <c r="B5" s="28" t="s">
        <v>47</v>
      </c>
      <c r="C5" s="35"/>
    </row>
    <row r="6" spans="1:7" x14ac:dyDescent="0.2">
      <c r="A6" s="14" t="s">
        <v>46</v>
      </c>
      <c r="B6" s="41" t="s">
        <v>47</v>
      </c>
      <c r="C6" s="36"/>
    </row>
    <row r="7" spans="1:7" ht="16" x14ac:dyDescent="0.2">
      <c r="A7" s="39"/>
      <c r="B7" s="40"/>
      <c r="C7" s="40"/>
      <c r="D7" s="40"/>
      <c r="E7" s="40"/>
      <c r="F7" s="40"/>
      <c r="G7" s="40"/>
    </row>
    <row r="9" spans="1:7" x14ac:dyDescent="0.2">
      <c r="A9" t="s">
        <v>143</v>
      </c>
      <c r="B9" t="s">
        <v>144</v>
      </c>
      <c r="C9" t="s">
        <v>145</v>
      </c>
      <c r="D9" t="s">
        <v>146</v>
      </c>
      <c r="E9" t="s">
        <v>147</v>
      </c>
      <c r="F9" t="s">
        <v>148</v>
      </c>
      <c r="G9" t="s">
        <v>149</v>
      </c>
    </row>
    <row r="10" spans="1:7" x14ac:dyDescent="0.2">
      <c r="A10" t="s">
        <v>150</v>
      </c>
      <c r="B10" t="s">
        <v>151</v>
      </c>
      <c r="C10" t="s">
        <v>152</v>
      </c>
      <c r="D10" t="s">
        <v>153</v>
      </c>
      <c r="E10" t="s">
        <v>154</v>
      </c>
    </row>
    <row r="11" spans="1:7" x14ac:dyDescent="0.2">
      <c r="A11" t="s">
        <v>155</v>
      </c>
      <c r="B11" t="s">
        <v>156</v>
      </c>
      <c r="C11" t="s">
        <v>157</v>
      </c>
      <c r="D11" t="s">
        <v>158</v>
      </c>
      <c r="E11" t="s">
        <v>159</v>
      </c>
    </row>
    <row r="12" spans="1:7" ht="32" x14ac:dyDescent="0.2">
      <c r="A12" t="s">
        <v>160</v>
      </c>
      <c r="B12" t="s">
        <v>161</v>
      </c>
      <c r="C12" t="s">
        <v>162</v>
      </c>
      <c r="D12" t="s">
        <v>158</v>
      </c>
      <c r="E12" s="42" t="s">
        <v>163</v>
      </c>
    </row>
    <row r="13" spans="1:7" ht="32" x14ac:dyDescent="0.2">
      <c r="A13" t="s">
        <v>155</v>
      </c>
      <c r="B13" t="s">
        <v>164</v>
      </c>
      <c r="C13" t="s">
        <v>165</v>
      </c>
      <c r="D13" t="s">
        <v>153</v>
      </c>
      <c r="E13" s="42" t="s">
        <v>166</v>
      </c>
    </row>
    <row r="14" spans="1:7" ht="16" x14ac:dyDescent="0.2">
      <c r="A14" t="s">
        <v>160</v>
      </c>
      <c r="B14" t="s">
        <v>167</v>
      </c>
      <c r="C14" t="s">
        <v>168</v>
      </c>
      <c r="D14" t="s">
        <v>158</v>
      </c>
      <c r="E14" s="42" t="s">
        <v>169</v>
      </c>
    </row>
    <row r="15" spans="1:7" x14ac:dyDescent="0.2">
      <c r="A15" t="s">
        <v>170</v>
      </c>
      <c r="B15" t="s">
        <v>171</v>
      </c>
      <c r="C15" t="s">
        <v>172</v>
      </c>
      <c r="D15" t="s">
        <v>153</v>
      </c>
      <c r="E15" t="s">
        <v>173</v>
      </c>
    </row>
    <row r="16" spans="1:7" ht="16" x14ac:dyDescent="0.2">
      <c r="A16" t="s">
        <v>170</v>
      </c>
      <c r="B16" t="s">
        <v>174</v>
      </c>
      <c r="C16" t="s">
        <v>175</v>
      </c>
      <c r="D16" t="s">
        <v>153</v>
      </c>
      <c r="E16" s="42" t="s">
        <v>176</v>
      </c>
    </row>
    <row r="17" spans="1:5" ht="16" x14ac:dyDescent="0.2">
      <c r="A17" t="s">
        <v>170</v>
      </c>
      <c r="B17" t="s">
        <v>177</v>
      </c>
      <c r="C17" t="s">
        <v>178</v>
      </c>
      <c r="D17" t="s">
        <v>158</v>
      </c>
      <c r="E17" s="42" t="s">
        <v>179</v>
      </c>
    </row>
    <row r="18" spans="1:5" ht="16" x14ac:dyDescent="0.2">
      <c r="A18" t="s">
        <v>180</v>
      </c>
      <c r="B18" t="s">
        <v>181</v>
      </c>
      <c r="C18" t="s">
        <v>182</v>
      </c>
      <c r="D18" t="s">
        <v>158</v>
      </c>
      <c r="E18" s="42" t="s">
        <v>183</v>
      </c>
    </row>
    <row r="19" spans="1:5" ht="16" x14ac:dyDescent="0.2">
      <c r="A19" t="s">
        <v>184</v>
      </c>
      <c r="B19" t="s">
        <v>185</v>
      </c>
      <c r="C19" t="s">
        <v>186</v>
      </c>
      <c r="D19" t="s">
        <v>187</v>
      </c>
      <c r="E19" s="42" t="s">
        <v>188</v>
      </c>
    </row>
    <row r="20" spans="1:5" ht="16" x14ac:dyDescent="0.2">
      <c r="E20" s="43" t="s">
        <v>189</v>
      </c>
    </row>
  </sheetData>
  <mergeCells count="2">
    <mergeCell ref="A2:G2"/>
    <mergeCell ref="A4:B4"/>
  </mergeCells>
  <conditionalFormatting sqref="B5:B6">
    <cfRule type="containsText" dxfId="7" priority="2" operator="containsText" text="Not Applicable">
      <formula>NOT(ISERROR(SEARCH("Not Applicable",B5)))</formula>
    </cfRule>
    <cfRule type="containsText" dxfId="6" priority="3" operator="containsText" text="Yes">
      <formula>NOT(ISERROR(SEARCH("Yes",B5)))</formula>
    </cfRule>
    <cfRule type="containsText" dxfId="5" priority="4" operator="containsText" text="No">
      <formula>NOT(ISERROR(SEARCH("No",B5)))</formula>
    </cfRule>
    <cfRule type="expression" dxfId="4" priority="5">
      <formula>LEN(TRIM(B5))=0</formula>
    </cfRule>
  </conditionalFormatting>
  <pageMargins left="0.7" right="0.7" top="0.75" bottom="0.75" header="0.511811023622047" footer="0.511811023622047"/>
  <pageSetup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prompt="Fill This Section After Completing" xr:uid="{00000000-0002-0000-0500-000000000000}">
          <x14:formula1>
            <xm:f>'DATA VALIDATION'!$A$2:$A$3</xm:f>
          </x14:formula1>
          <x14:formula2>
            <xm:f>0</xm:f>
          </x14:formula2>
          <xm:sqref>B5:B6</xm:sqref>
        </x14:dataValidation>
        <x14:dataValidation type="list" allowBlank="1" showInputMessage="1" showErrorMessage="1" xr:uid="{00000000-0002-0000-0500-000001000000}">
          <x14:formula1>
            <xm:f>'DATA VALIDATION'!$F$2:$F$8</xm:f>
          </x14:formula1>
          <x14:formula2>
            <xm:f>0</xm:f>
          </x14:formula2>
          <xm:sqref>A10:A11 A15</xm:sqref>
        </x14:dataValidation>
        <x14:dataValidation type="list" allowBlank="1" showInputMessage="1" showErrorMessage="1" xr:uid="{00000000-0002-0000-0500-000002000000}">
          <x14:formula1>
            <xm:f>'DATA VALIDATION'!$G$2:$G$5</xm:f>
          </x14:formula1>
          <x14:formula2>
            <xm:f>0</xm:f>
          </x14:formula2>
          <xm:sqref>D10:D11 D15</xm:sqref>
        </x14:dataValidation>
        <x14:dataValidation type="list" allowBlank="1" showInputMessage="1" showErrorMessage="1" xr:uid="{00000000-0002-0000-0500-000003000000}">
          <x14:formula1>
            <xm:f>'DATA VALIDATION'!$H$2:$H$3</xm:f>
          </x14:formula1>
          <x14:formula2>
            <xm:f>0</xm:f>
          </x14:formula2>
          <xm:sqref>F10:F20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10"/>
  <sheetViews>
    <sheetView zoomScale="173" zoomScaleNormal="173" workbookViewId="0">
      <selection activeCell="B14" sqref="B14"/>
    </sheetView>
  </sheetViews>
  <sheetFormatPr baseColWidth="10" defaultColWidth="8.6640625" defaultRowHeight="15" x14ac:dyDescent="0.2"/>
  <cols>
    <col min="1" max="1" width="20.6640625" customWidth="1"/>
    <col min="2" max="2" width="65.6640625" customWidth="1"/>
    <col min="3" max="3" width="67.1640625" customWidth="1"/>
    <col min="4" max="4" width="71.5" customWidth="1"/>
  </cols>
  <sheetData>
    <row r="1" spans="1:4" ht="19" x14ac:dyDescent="0.25">
      <c r="A1" s="1" t="s">
        <v>190</v>
      </c>
      <c r="B1" s="2"/>
      <c r="C1" s="2"/>
      <c r="D1" s="2"/>
    </row>
    <row r="2" spans="1:4" ht="90" customHeight="1" x14ac:dyDescent="0.2">
      <c r="A2" s="64" t="s">
        <v>191</v>
      </c>
      <c r="B2" s="64"/>
      <c r="C2" s="64"/>
      <c r="D2" s="64"/>
    </row>
    <row r="4" spans="1:4" x14ac:dyDescent="0.2">
      <c r="A4" s="49" t="s">
        <v>15</v>
      </c>
      <c r="B4" s="49"/>
      <c r="C4" s="24"/>
    </row>
    <row r="5" spans="1:4" x14ac:dyDescent="0.2">
      <c r="A5" s="13" t="s">
        <v>44</v>
      </c>
      <c r="B5" s="28" t="s">
        <v>47</v>
      </c>
      <c r="C5" s="35"/>
    </row>
    <row r="6" spans="1:4" x14ac:dyDescent="0.2">
      <c r="A6" s="14" t="s">
        <v>46</v>
      </c>
      <c r="B6" s="41" t="s">
        <v>47</v>
      </c>
      <c r="C6" s="36"/>
    </row>
    <row r="9" spans="1:4" x14ac:dyDescent="0.2">
      <c r="A9" t="s">
        <v>192</v>
      </c>
      <c r="B9" t="s">
        <v>193</v>
      </c>
      <c r="C9" t="s">
        <v>194</v>
      </c>
      <c r="D9" t="s">
        <v>195</v>
      </c>
    </row>
    <row r="10" spans="1:4" x14ac:dyDescent="0.2">
      <c r="A10" s="44">
        <v>36526</v>
      </c>
      <c r="B10" t="s">
        <v>196</v>
      </c>
      <c r="C10" t="s">
        <v>197</v>
      </c>
      <c r="D10" t="s">
        <v>198</v>
      </c>
    </row>
  </sheetData>
  <mergeCells count="2">
    <mergeCell ref="A2:D2"/>
    <mergeCell ref="A4:B4"/>
  </mergeCells>
  <conditionalFormatting sqref="B5:B6">
    <cfRule type="containsText" dxfId="3" priority="2" operator="containsText" text="Not Applicable">
      <formula>NOT(ISERROR(SEARCH("Not Applicable",B5)))</formula>
    </cfRule>
    <cfRule type="containsText" dxfId="2" priority="3" operator="containsText" text="Yes">
      <formula>NOT(ISERROR(SEARCH("Yes",B5)))</formula>
    </cfRule>
    <cfRule type="containsText" dxfId="1" priority="4" operator="containsText" text="No">
      <formula>NOT(ISERROR(SEARCH("No",B5)))</formula>
    </cfRule>
    <cfRule type="expression" dxfId="0" priority="5">
      <formula>LEN(TRIM(B5))=0</formula>
    </cfRule>
  </conditionalFormatting>
  <pageMargins left="0.7" right="0.7" top="0.75" bottom="0.75" header="0.511811023622047" footer="0.511811023622047"/>
  <pageSetup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Fill This Section After Completing" xr:uid="{00000000-0002-0000-0600-000000000000}">
          <x14:formula1>
            <xm:f>'DATA VALIDATION'!$A$2:$A$3</xm:f>
          </x14:formula1>
          <x14:formula2>
            <xm:f>0</xm:f>
          </x14:formula2>
          <xm:sqref>B5:B6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8"/>
  <sheetViews>
    <sheetView zoomScale="173" zoomScaleNormal="173" workbookViewId="0">
      <selection activeCell="B8" sqref="B8"/>
    </sheetView>
  </sheetViews>
  <sheetFormatPr baseColWidth="10" defaultColWidth="8.6640625" defaultRowHeight="15" x14ac:dyDescent="0.2"/>
  <cols>
    <col min="1" max="1" width="17.5" customWidth="1"/>
    <col min="2" max="2" width="16.6640625" customWidth="1"/>
    <col min="3" max="3" width="20.83203125" customWidth="1"/>
    <col min="4" max="4" width="18.33203125" customWidth="1"/>
    <col min="5" max="5" width="23.1640625" customWidth="1"/>
    <col min="6" max="6" width="57.1640625" customWidth="1"/>
    <col min="7" max="7" width="26.6640625" customWidth="1"/>
    <col min="8" max="8" width="10.5" customWidth="1"/>
    <col min="9" max="9" width="21.33203125" customWidth="1"/>
    <col min="10" max="10" width="22.1640625" customWidth="1"/>
  </cols>
  <sheetData>
    <row r="1" spans="1:10" x14ac:dyDescent="0.2">
      <c r="A1" s="20" t="s">
        <v>199</v>
      </c>
      <c r="B1" s="20" t="s">
        <v>200</v>
      </c>
      <c r="C1" s="20" t="s">
        <v>201</v>
      </c>
      <c r="D1" s="20" t="s">
        <v>202</v>
      </c>
      <c r="E1" t="s">
        <v>143</v>
      </c>
      <c r="F1" t="s">
        <v>203</v>
      </c>
      <c r="G1" t="s">
        <v>204</v>
      </c>
      <c r="H1" t="s">
        <v>205</v>
      </c>
      <c r="I1" t="s">
        <v>206</v>
      </c>
      <c r="J1" t="s">
        <v>207</v>
      </c>
    </row>
    <row r="2" spans="1:10" x14ac:dyDescent="0.2">
      <c r="A2" s="45" t="s">
        <v>45</v>
      </c>
      <c r="B2" s="45" t="s">
        <v>45</v>
      </c>
      <c r="C2" t="s">
        <v>208</v>
      </c>
      <c r="D2" t="s">
        <v>209</v>
      </c>
      <c r="E2" t="s">
        <v>210</v>
      </c>
      <c r="F2" t="s">
        <v>150</v>
      </c>
      <c r="G2" t="s">
        <v>158</v>
      </c>
      <c r="H2" t="s">
        <v>211</v>
      </c>
      <c r="I2" t="s">
        <v>84</v>
      </c>
      <c r="J2" t="s">
        <v>212</v>
      </c>
    </row>
    <row r="3" spans="1:10" x14ac:dyDescent="0.2">
      <c r="A3" s="45" t="s">
        <v>47</v>
      </c>
      <c r="B3" s="45" t="s">
        <v>47</v>
      </c>
      <c r="C3" t="s">
        <v>213</v>
      </c>
      <c r="D3" t="s">
        <v>214</v>
      </c>
      <c r="E3" t="s">
        <v>215</v>
      </c>
      <c r="F3" t="s">
        <v>155</v>
      </c>
      <c r="G3" t="s">
        <v>216</v>
      </c>
      <c r="H3" t="s">
        <v>217</v>
      </c>
      <c r="I3" t="s">
        <v>218</v>
      </c>
      <c r="J3" t="s">
        <v>219</v>
      </c>
    </row>
    <row r="4" spans="1:10" x14ac:dyDescent="0.2">
      <c r="B4" s="45" t="s">
        <v>220</v>
      </c>
      <c r="C4" t="s">
        <v>221</v>
      </c>
      <c r="E4" t="s">
        <v>222</v>
      </c>
      <c r="F4" t="s">
        <v>160</v>
      </c>
      <c r="G4" t="s">
        <v>187</v>
      </c>
      <c r="I4" t="s">
        <v>88</v>
      </c>
      <c r="J4" t="s">
        <v>223</v>
      </c>
    </row>
    <row r="5" spans="1:10" x14ac:dyDescent="0.2">
      <c r="C5" t="s">
        <v>224</v>
      </c>
      <c r="E5" t="s">
        <v>225</v>
      </c>
      <c r="F5" t="s">
        <v>170</v>
      </c>
      <c r="G5" t="s">
        <v>153</v>
      </c>
      <c r="J5" t="s">
        <v>226</v>
      </c>
    </row>
    <row r="6" spans="1:10" x14ac:dyDescent="0.2">
      <c r="F6" t="s">
        <v>227</v>
      </c>
      <c r="J6" t="s">
        <v>228</v>
      </c>
    </row>
    <row r="7" spans="1:10" x14ac:dyDescent="0.2">
      <c r="F7" t="s">
        <v>180</v>
      </c>
    </row>
    <row r="8" spans="1:10" x14ac:dyDescent="0.2">
      <c r="F8" t="s">
        <v>184</v>
      </c>
    </row>
  </sheetData>
  <pageMargins left="0.7" right="0.7" top="0.75" bottom="0.75" header="0.511811023622047" footer="0.511811023622047"/>
  <pageSetup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631679c-bfd8-4445-9cda-c9f05602c282" xsi:nil="true"/>
    <lcf76f155ced4ddcb4097134ff3c332f xmlns="0ad71be4-300e-4da4-9890-e32ad5c0a962">
      <Terms xmlns="http://schemas.microsoft.com/office/infopath/2007/PartnerControls"/>
    </lcf76f155ced4ddcb4097134ff3c332f>
    <PartNumber xmlns="0ad71be4-300e-4da4-9890-e32ad5c0a962" xsi:nil="true"/>
  </documentManagement>
</p:properties>
</file>

<file path=customXml/itemProps1.xml><?xml version="1.0" encoding="utf-8"?>
<ds:datastoreItem xmlns:ds="http://schemas.openxmlformats.org/officeDocument/2006/customXml" ds:itemID="{B6062DB1-B6CE-45EA-8A76-58762AE686EA}">
  <ds:schemaRefs>
    <ds:schemaRef ds:uri="http://schemas.microsoft.com/office/2006/metadata/properties"/>
    <ds:schemaRef ds:uri="http://schemas.microsoft.com/office/infopath/2007/PartnerControls"/>
    <ds:schemaRef ds:uri="c631679c-bfd8-4445-9cda-c9f05602c282"/>
    <ds:schemaRef ds:uri="0ad71be4-300e-4da4-9890-e32ad5c0a962"/>
  </ds:schemaRefs>
</ds:datastoreItem>
</file>

<file path=docProps/app.xml><?xml version="1.0" encoding="utf-8"?>
<Properties xmlns="http://schemas.openxmlformats.org/officeDocument/2006/extended-properties" xmlns:vt="http://schemas.openxmlformats.org/officeDocument/2006/docPropsVTypes">
  <Template/>
  <TotalTime>91</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DETAILED DESIGN REVIEW</vt:lpstr>
      <vt:lpstr>PCB Design Intent</vt:lpstr>
      <vt:lpstr>Schematic Review</vt:lpstr>
      <vt:lpstr>Layout Review</vt:lpstr>
      <vt:lpstr>CAD &amp; Physical Design Review</vt:lpstr>
      <vt:lpstr>Unit Test Checklist</vt:lpstr>
      <vt:lpstr>Comissioning Notes</vt:lpstr>
      <vt:lpstr>DATA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stanley</dc:creator>
  <dc:description/>
  <cp:lastModifiedBy>Theo Devos-Vernes</cp:lastModifiedBy>
  <cp:revision>5</cp:revision>
  <dcterms:created xsi:type="dcterms:W3CDTF">2015-06-05T18:17:20Z</dcterms:created>
  <dcterms:modified xsi:type="dcterms:W3CDTF">2026-10-16T01:50:22Z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0x0101000AC20C0D73B1E34F9B2B46F6AD2F766E</vt:lpwstr>
  </property>
  <property fmtid="{D5CDD505-2E9C-101B-9397-08002B2CF9AE}" pid="3" name="MediaServiceImageTags">
    <vt:lpwstr/>
  </property>
</Properties>
</file>